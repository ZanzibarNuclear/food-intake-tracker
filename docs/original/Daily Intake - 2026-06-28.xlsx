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eal Log" sheetId="2" r:id="rId6"/>
    <sheet state="visible" name="Foods" sheetId="3" r:id="rId7"/>
    <sheet state="visible" name="Daily Summary" sheetId="4" r:id="rId8"/>
    <sheet state="visible" name="Weight Log" sheetId="5" r:id="rId9"/>
    <sheet state="visible" name="Instructions" sheetId="6" r:id="rId10"/>
  </sheets>
  <definedNames/>
  <calcPr/>
</workbook>
</file>

<file path=xl/sharedStrings.xml><?xml version="1.0" encoding="utf-8"?>
<sst xmlns="http://schemas.openxmlformats.org/spreadsheetml/2006/main" count="387" uniqueCount="212">
  <si>
    <t>Weight Management Food Tracker</t>
  </si>
  <si>
    <t>Daily Calorie Target</t>
  </si>
  <si>
    <t>Today</t>
  </si>
  <si>
    <t>Calories</t>
  </si>
  <si>
    <t>Protein</t>
  </si>
  <si>
    <t>Nutrition</t>
  </si>
  <si>
    <t>Items</t>
  </si>
  <si>
    <t>Protein Target (g)</t>
  </si>
  <si>
    <t>Nutrition Score Target</t>
  </si>
  <si>
    <t>Goal Weight</t>
  </si>
  <si>
    <t>Current Weight</t>
  </si>
  <si>
    <t>Weight to Goal</t>
  </si>
  <si>
    <t>Last 7-Day Avg Calories</t>
  </si>
  <si>
    <t>How to use: add reusable foods/nicknames on the Foods tab, then log each meal on Meal Log. Daily Summary and Dashboard update automatically.</t>
  </si>
  <si>
    <t>Date</t>
  </si>
  <si>
    <t>Meal</t>
  </si>
  <si>
    <t>Food</t>
  </si>
  <si>
    <t>Quantity</t>
  </si>
  <si>
    <t>Protein (g)</t>
  </si>
  <si>
    <t>Nutrition Points</t>
  </si>
  <si>
    <t>Notes</t>
  </si>
  <si>
    <t>Known Food?</t>
  </si>
  <si>
    <t>Breakfast</t>
  </si>
  <si>
    <t>Cereal with Whole Milk</t>
  </si>
  <si>
    <t>Blueberry Protein Shake</t>
  </si>
  <si>
    <t>Lunch</t>
  </si>
  <si>
    <t>PB Banana Sandwich</t>
  </si>
  <si>
    <t>Leafy greens salad w/cheese</t>
  </si>
  <si>
    <t>Corn chips and salsa</t>
  </si>
  <si>
    <t>Yes</t>
  </si>
  <si>
    <t>Snack</t>
  </si>
  <si>
    <t>Mixed Nuts &amp; Raisins (1 cup)</t>
  </si>
  <si>
    <t>Dinner</t>
  </si>
  <si>
    <t>Udon Bowl</t>
  </si>
  <si>
    <t>Dessert</t>
  </si>
  <si>
    <t>Apple Pie Slice</t>
  </si>
  <si>
    <t>Peach</t>
  </si>
  <si>
    <t xml:space="preserve">Turkey sandwich </t>
  </si>
  <si>
    <t xml:space="preserve">Watermelon </t>
  </si>
  <si>
    <t xml:space="preserve">Olipop </t>
  </si>
  <si>
    <t>Roasted chicken</t>
  </si>
  <si>
    <t>Fingerling potatoes</t>
  </si>
  <si>
    <t>Broccoli</t>
  </si>
  <si>
    <t>Plain Whole-Milk Greek Yogurt</t>
  </si>
  <si>
    <t>Banana</t>
  </si>
  <si>
    <t>Black Coffee / Tea / Sparkling Water</t>
  </si>
  <si>
    <t>Tamale, black bean and yam</t>
  </si>
  <si>
    <t>Leafy greens salad w/tomatoes</t>
  </si>
  <si>
    <t>Mango lassi</t>
  </si>
  <si>
    <t xml:space="preserve">Turkey pesto sandwich </t>
  </si>
  <si>
    <t xml:space="preserve">Chicken soup </t>
  </si>
  <si>
    <t>PB Sandwich</t>
  </si>
  <si>
    <t>Dorayaki</t>
  </si>
  <si>
    <t>Large egg</t>
  </si>
  <si>
    <t>Corn on the cob</t>
  </si>
  <si>
    <t>Chicken Salad</t>
  </si>
  <si>
    <t>White wine</t>
  </si>
  <si>
    <t>Tamale, chicken</t>
  </si>
  <si>
    <t>Food Name / Nickname</t>
  </si>
  <si>
    <t>Serving Description</t>
  </si>
  <si>
    <t>Nutrition Score (1-10)</t>
  </si>
  <si>
    <t>Satiety Score</t>
  </si>
  <si>
    <t>1 shake: whole milk + protein powder + 1 cup blueberries</t>
  </si>
  <si>
    <t>Adjust if you change milk amount/type.</t>
  </si>
  <si>
    <t>1 sandwich on sourdough</t>
  </si>
  <si>
    <t>Peanut butter amount drives calories.</t>
  </si>
  <si>
    <t>1 cup</t>
  </si>
  <si>
    <t>Calorie dense; try 1/2 cup when cutting.</t>
  </si>
  <si>
    <t>1 bowl</t>
  </si>
  <si>
    <t>Estimate; refine for restaurant/home version.</t>
  </si>
  <si>
    <t>1 large slice</t>
  </si>
  <si>
    <t>Treat food.</t>
  </si>
  <si>
    <t>1 small bowl</t>
  </si>
  <si>
    <t>Estimate depends on cereal and milk volume.</t>
  </si>
  <si>
    <t>1 drink</t>
  </si>
  <si>
    <t>Calorie-free beverages.</t>
  </si>
  <si>
    <t>1 medium</t>
  </si>
  <si>
    <t>Apple</t>
  </si>
  <si>
    <t>Greek Yogurt + Berries</t>
  </si>
  <si>
    <t>Good default snack.</t>
  </si>
  <si>
    <t>Eggs + Toast</t>
  </si>
  <si>
    <t>2 eggs + 1 toast</t>
  </si>
  <si>
    <t>1 large salad</t>
  </si>
  <si>
    <t>Rice Bowl with Protein</t>
  </si>
  <si>
    <t>Pizza Slice</t>
  </si>
  <si>
    <t>1 slice</t>
  </si>
  <si>
    <t>Protein Bar</t>
  </si>
  <si>
    <t>1 bar</t>
  </si>
  <si>
    <t>Check label.</t>
  </si>
  <si>
    <t>Plain Nonfat Greek Yogurt</t>
  </si>
  <si>
    <t>Plain Low-Fat Greek Yogurt</t>
  </si>
  <si>
    <t>Plain Regular Yogurt (whole milk)</t>
  </si>
  <si>
    <t>1 sandwich</t>
  </si>
  <si>
    <t>Assumes whole wheat bread, about 2 oz turkey, and 2 slices cheddar or Swiss.</t>
  </si>
  <si>
    <t>1 cup diced</t>
  </si>
  <si>
    <t>Very hydrating, low calorie, good source of vitamins A and C.</t>
  </si>
  <si>
    <t>1 can</t>
  </si>
  <si>
    <t xml:space="preserve">Prebiotics </t>
  </si>
  <si>
    <t>4 oz cooked, skinless</t>
  </si>
  <si>
    <t>Excellent lean protein, rich in B vitamins.</t>
  </si>
  <si>
    <t>1 cup cooked</t>
  </si>
  <si>
    <t>High in fiber, vitamin C, vitamin K, and folate.</t>
  </si>
  <si>
    <t>1 cup roasted (about 6 oz)</t>
  </si>
  <si>
    <t>Good source of potassium and vitamin C; score assumes moderate oil when roasted.</t>
  </si>
  <si>
    <t>1 tamale</t>
  </si>
  <si>
    <t>Tamale, beef and cheese</t>
  </si>
  <si>
    <t>IPA beer</t>
  </si>
  <si>
    <t>1 pint (16 oz)</t>
  </si>
  <si>
    <t>Lager beer</t>
  </si>
  <si>
    <t>Red ale</t>
  </si>
  <si>
    <t>Stout</t>
  </si>
  <si>
    <t>12 oz</t>
  </si>
  <si>
    <t>Pepperoni pizza</t>
  </si>
  <si>
    <t>1 slice (large)</t>
  </si>
  <si>
    <t>Combo (supreme) pizza</t>
  </si>
  <si>
    <t>Hawaiian pizza</t>
  </si>
  <si>
    <t>1 deli sandwich</t>
  </si>
  <si>
    <t>Whole milk</t>
  </si>
  <si>
    <t>1 egg</t>
  </si>
  <si>
    <t>Egg whites</t>
  </si>
  <si>
    <t>3 whites</t>
  </si>
  <si>
    <t>Cheddar cheese</t>
  </si>
  <si>
    <t>1 oz</t>
  </si>
  <si>
    <t>Swiss cheese</t>
  </si>
  <si>
    <t>Mozzarella</t>
  </si>
  <si>
    <t>Parmesan</t>
  </si>
  <si>
    <t>Cottage cheese (2%)</t>
  </si>
  <si>
    <t>Plain Greek yogurt</t>
  </si>
  <si>
    <t>Blueberries</t>
  </si>
  <si>
    <t>Strawberries</t>
  </si>
  <si>
    <t>Raspberries</t>
  </si>
  <si>
    <t>Blackberries</t>
  </si>
  <si>
    <t>Nectarine</t>
  </si>
  <si>
    <t>Plum</t>
  </si>
  <si>
    <t>Apricot</t>
  </si>
  <si>
    <t>Cherries</t>
  </si>
  <si>
    <t>Granola</t>
  </si>
  <si>
    <t>½ cup</t>
  </si>
  <si>
    <t>Sourdough bread</t>
  </si>
  <si>
    <t>Whole wheat bread</t>
  </si>
  <si>
    <t>Multigrain bread</t>
  </si>
  <si>
    <t>Shokupan (Japanese milk bread)</t>
  </si>
  <si>
    <t>1 thick slice</t>
  </si>
  <si>
    <t>Flour tortilla (10")</t>
  </si>
  <si>
    <t>Corn tortilla (6")</t>
  </si>
  <si>
    <t>Hummus</t>
  </si>
  <si>
    <t>2 Tbsp</t>
  </si>
  <si>
    <t>Avocado</t>
  </si>
  <si>
    <t>½ medium</t>
  </si>
  <si>
    <t>Peanut butter</t>
  </si>
  <si>
    <t>Almond butter</t>
  </si>
  <si>
    <t>Ground beef (80%)</t>
  </si>
  <si>
    <t>4 oz</t>
  </si>
  <si>
    <t>Ground beef (90%)</t>
  </si>
  <si>
    <t>Ground pork</t>
  </si>
  <si>
    <t>Ground turkey (93%)</t>
  </si>
  <si>
    <t>Ground chicken</t>
  </si>
  <si>
    <t>Turkey slices</t>
  </si>
  <si>
    <t>2 oz</t>
  </si>
  <si>
    <t>Ham</t>
  </si>
  <si>
    <t>Roast beef</t>
  </si>
  <si>
    <t>Salami</t>
  </si>
  <si>
    <t>Hamburger (plain)</t>
  </si>
  <si>
    <t>Cheeseburger</t>
  </si>
  <si>
    <t>Double cheeseburger</t>
  </si>
  <si>
    <t>Cheese omelet (2 eggs)</t>
  </si>
  <si>
    <t>Vegetable omelet (2 eggs)</t>
  </si>
  <si>
    <t>Denver omelet</t>
  </si>
  <si>
    <t>1 piece</t>
  </si>
  <si>
    <t>Japanese snack</t>
  </si>
  <si>
    <t>Senbei / sembe</t>
  </si>
  <si>
    <t>1 serving, ~30 g</t>
  </si>
  <si>
    <t>Mitarashi dango</t>
  </si>
  <si>
    <t>1 skewer</t>
  </si>
  <si>
    <t>Sesame dango</t>
  </si>
  <si>
    <t>3 pieces</t>
  </si>
  <si>
    <t>Mochi, plain</t>
  </si>
  <si>
    <t>Daifuku mochi</t>
  </si>
  <si>
    <t>Taiyaki, red bean</t>
  </si>
  <si>
    <t>Onigiri, salmon</t>
  </si>
  <si>
    <t>Japanese snack / light meal</t>
  </si>
  <si>
    <t>Pocky</t>
  </si>
  <si>
    <t>1 box / pack</t>
  </si>
  <si>
    <t>Mochi ice cream</t>
  </si>
  <si>
    <t>Japanese snack / dessert</t>
  </si>
  <si>
    <t>Avg Nutrition Score</t>
  </si>
  <si>
    <t>Items Logged</t>
  </si>
  <si>
    <t>Weight</t>
  </si>
  <si>
    <t>7-Day Avg Calories</t>
  </si>
  <si>
    <t>7-Day Avg Weight</t>
  </si>
  <si>
    <t>starting point</t>
  </si>
  <si>
    <t>Food Tracker Instructions</t>
  </si>
  <si>
    <t>1</t>
  </si>
  <si>
    <t>Import this .xlsx into Google Sheets.</t>
  </si>
  <si>
    <t>2</t>
  </si>
  <si>
    <t>On Foods, define nicknames and calories once, e.g., Blueberry Protein Shake.</t>
  </si>
  <si>
    <t>3</t>
  </si>
  <si>
    <t>On Meal Log, enter Date, Meal, Food, and Quantity after each meal from your phone.</t>
  </si>
  <si>
    <t>4</t>
  </si>
  <si>
    <t>Use decimal quantities for partial servings, e.g., 0.5 for half a cup of mixed nuts/raisins.</t>
  </si>
  <si>
    <t>5</t>
  </si>
  <si>
    <t>If a food is missing, add it to Foods first; the Meal Log will then calculate automatically.</t>
  </si>
  <si>
    <t>6</t>
  </si>
  <si>
    <t>Update Weight Log whenever you weigh yourself.</t>
  </si>
  <si>
    <t>7</t>
  </si>
  <si>
    <t>Use Daily Summary and Dashboard to watch weekly calorie average, protein, nutrition score, and weight trend.</t>
  </si>
  <si>
    <t>Note</t>
  </si>
  <si>
    <t>Formulas use common Google Sheets/Excel functions such as VLOOKUP, SUMIFS, COUNTIFS, FILTER, LOOKUP, and IFERROR.</t>
  </si>
  <si>
    <t>Tip</t>
  </si>
  <si>
    <t>For faster phone entry, create a Google Form later with Date, Meal, Food, Quantity fields connected to Meal Log.</t>
  </si>
  <si>
    <t>Target</t>
  </si>
  <si>
    <t>Initial default targets: 2,000 calories/day, 100g protein/day, nutrition score 7+. Adjust based on your weight trend.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</si>
</sst>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"/>
    <numFmt numFmtId="166" formatCode="M/d/yyyy"/>
  </numFmts>
  <fonts count="7">
    <font>
      <sz val="11.0"/>
      <color rgb="FF000000"/>
      <name val="Carlito"/>
      <scheme val="minor"/>
    </font>
    <font>
      <b/>
      <sz val="18.0"/>
      <color rgb="FF111827"/>
      <name val="Carlito"/>
    </font>
    <font>
      <b/>
      <sz val="11.0"/>
      <color rgb="FF1E3A8A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i/>
      <sz val="11.0"/>
      <color rgb="FF374151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EFF6FF"/>
        <bgColor rgb="FFEFF6FF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DE8C2"/>
        <bgColor rgb="FFFDE8C2"/>
      </patternFill>
    </fill>
    <fill>
      <patternFill patternType="solid">
        <fgColor rgb="FFE8F4C9"/>
        <bgColor rgb="FFE8F4C9"/>
      </patternFill>
    </fill>
    <fill>
      <patternFill patternType="solid">
        <fgColor rgb="FFDBEAFE"/>
        <bgColor rgb="FFDBEAFE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3" fontId="3" numFmtId="0" xfId="0" applyAlignment="1" applyFill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0" fontId="4" numFmtId="164" xfId="0" applyFont="1" applyNumberFormat="1"/>
    <xf borderId="0" fillId="0" fontId="4" numFmtId="1" xfId="0" applyFont="1" applyNumberFormat="1"/>
    <xf borderId="0" fillId="0" fontId="4" numFmtId="165" xfId="0" applyFont="1" applyNumberFormat="1"/>
    <xf borderId="0" fillId="0" fontId="5" numFmtId="0" xfId="0" applyFont="1"/>
    <xf borderId="0" fillId="4" fontId="6" numFmtId="0" xfId="0" applyAlignment="1" applyFill="1" applyFont="1">
      <alignment shrinkToFit="0" wrapText="1"/>
    </xf>
    <xf borderId="0" fillId="3" fontId="3" numFmtId="0" xfId="0" applyAlignment="1" applyFont="1">
      <alignment horizontal="center" vertical="center"/>
    </xf>
    <xf borderId="0" fillId="0" fontId="4" numFmtId="166" xfId="0" applyAlignment="1" applyFont="1" applyNumberFormat="1">
      <alignment readingOrder="0"/>
    </xf>
    <xf borderId="0" fillId="0" fontId="5" numFmtId="0" xfId="0" applyFont="1"/>
    <xf borderId="0" fillId="0" fontId="4" numFmtId="165" xfId="0" applyFont="1" applyNumberFormat="1"/>
    <xf borderId="0" fillId="0" fontId="5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Font="1" applyNumberFormat="1"/>
    <xf borderId="0" fillId="0" fontId="4" numFmtId="164" xfId="0" applyFont="1" applyNumberFormat="1"/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0" fontId="4" numFmtId="1" xfId="0" applyFont="1" applyNumberFormat="1"/>
    <xf borderId="0" fillId="0" fontId="4" numFmtId="1" xfId="0" applyAlignment="1" applyFont="1" applyNumberFormat="1">
      <alignment horizontal="center"/>
    </xf>
    <xf borderId="0" fillId="5" fontId="4" numFmtId="0" xfId="0" applyAlignment="1" applyFill="1" applyFont="1">
      <alignment readingOrder="0" vertical="bottom"/>
    </xf>
    <xf borderId="0" fillId="5" fontId="4" numFmtId="0" xfId="0" applyAlignment="1" applyFont="1">
      <alignment vertical="bottom"/>
    </xf>
    <xf borderId="0" fillId="5" fontId="4" numFmtId="1" xfId="0" applyAlignment="1" applyFont="1" applyNumberFormat="1">
      <alignment horizontal="right" readingOrder="0" vertical="bottom"/>
    </xf>
    <xf borderId="0" fillId="5" fontId="4" numFmtId="1" xfId="0" applyAlignment="1" applyFont="1" applyNumberFormat="1">
      <alignment horizontal="right" vertical="bottom"/>
    </xf>
    <xf borderId="0" fillId="6" fontId="4" numFmtId="1" xfId="0" applyAlignment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1" xfId="0" applyAlignment="1" applyFont="1" applyNumberFormat="1">
      <alignment readingOrder="0"/>
    </xf>
    <xf borderId="0" fillId="0" fontId="4" numFmtId="1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1" xfId="0" applyAlignment="1" applyFont="1" applyNumberFormat="1">
      <alignment horizontal="right" readingOrder="0"/>
    </xf>
    <xf borderId="0" fillId="0" fontId="4" numFmtId="165" xfId="0" applyAlignment="1" applyFont="1" applyNumberFormat="1">
      <alignment horizontal="center" readingOrder="0"/>
    </xf>
    <xf borderId="0" fillId="7" fontId="4" numFmtId="165" xfId="0" applyAlignment="1" applyFill="1" applyFont="1" applyNumberFormat="1">
      <alignment horizontal="center" readingOrder="0" vertical="bottom"/>
    </xf>
    <xf borderId="0" fillId="0" fontId="5" numFmtId="1" xfId="0" applyAlignment="1" applyFont="1" applyNumberForma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4" numFmtId="165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3" fontId="3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readingOrder="0"/>
    </xf>
    <xf borderId="0" fillId="8" fontId="2" numFmtId="0" xfId="0" applyAlignment="1" applyFill="1" applyFont="1">
      <alignment horizontal="center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991B1B"/>
      </font>
      <fill>
        <patternFill patternType="solid">
          <fgColor rgb="FFFECACA"/>
          <bgColor rgb="FFFECACA"/>
        </patternFill>
      </fill>
      <border/>
    </dxf>
  </dxfs>
  <tableStyles count="4">
    <tableStyle count="3" pivot="0" name="Meal Log-style">
      <tableStyleElement dxfId="1" type="headerRow"/>
      <tableStyleElement dxfId="2" type="firstRowStripe"/>
      <tableStyleElement dxfId="3" type="secondRowStripe"/>
    </tableStyle>
    <tableStyle count="3" pivot="0" name="Foods-style">
      <tableStyleElement dxfId="1" type="headerRow"/>
      <tableStyleElement dxfId="2" type="firstRowStripe"/>
      <tableStyleElement dxfId="3" type="secondRowStripe"/>
    </tableStyle>
    <tableStyle count="3" pivot="0" name="Daily Summary-style">
      <tableStyleElement dxfId="1" type="headerRow"/>
      <tableStyleElement dxfId="2" type="firstRowStripe"/>
      <tableStyleElement dxfId="3" type="secondRowStripe"/>
    </tableStyle>
    <tableStyle count="3" pivot="0" name="Weight 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06" displayName="Table_1" name="Table_1" id="1">
  <tableColumns count="9">
    <tableColumn name="Date" id="1"/>
    <tableColumn name="Meal" id="2"/>
    <tableColumn name="Food" id="3"/>
    <tableColumn name="Quantity" id="4"/>
    <tableColumn name="Calories" id="5"/>
    <tableColumn name="Protein (g)" id="6"/>
    <tableColumn name="Nutrition Points" id="7"/>
    <tableColumn name="Notes" id="8"/>
    <tableColumn name="Known Food?" id="9"/>
  </tableColumns>
  <tableStyleInfo name="Meal Log-style" showColumnStripes="0" showFirstColumn="1" showLastColumn="1" showRowStripes="1"/>
</table>
</file>

<file path=xl/tables/table2.xml><?xml version="1.0" encoding="utf-8"?>
<table xmlns="http://schemas.openxmlformats.org/spreadsheetml/2006/main" ref="A1:G197" displayName="Table_2" name="Table_2" id="2">
  <tableColumns count="7">
    <tableColumn name="Food Name / Nickname" id="1"/>
    <tableColumn name="Serving Description" id="2"/>
    <tableColumn name="Calories" id="3"/>
    <tableColumn name="Protein (g)" id="4"/>
    <tableColumn name="Nutrition Score (1-10)" id="5"/>
    <tableColumn name="Satiety Score" id="6"/>
    <tableColumn name="Notes" id="7"/>
  </tableColumns>
  <tableStyleInfo name="Foods-style" showColumnStripes="0" showFirstColumn="1" showLastColumn="1" showRowStripes="1"/>
</table>
</file>

<file path=xl/tables/table3.xml><?xml version="1.0" encoding="utf-8"?>
<table xmlns="http://schemas.openxmlformats.org/spreadsheetml/2006/main" ref="A1:H181" displayName="Table_3" name="Table_3" id="3">
  <tableColumns count="8">
    <tableColumn name="Date" id="1"/>
    <tableColumn name="Calories" id="2"/>
    <tableColumn name="Protein (g)" id="3"/>
    <tableColumn name="Avg Nutrition Score" id="4"/>
    <tableColumn name="Items Logged" id="5"/>
    <tableColumn name="Weight" id="6"/>
    <tableColumn name="7-Day Avg Calories" id="7"/>
    <tableColumn name="7-Day Avg Weight" id="8"/>
  </tableColumns>
  <tableStyleInfo name="Daily Summary-style" showColumnStripes="0" showFirstColumn="1" showLastColumn="1" showRowStripes="1"/>
</table>
</file>

<file path=xl/tables/table4.xml><?xml version="1.0" encoding="utf-8"?>
<table xmlns="http://schemas.openxmlformats.org/spreadsheetml/2006/main" ref="A1:D220" displayName="Table_4" name="Table_4" id="4">
  <tableColumns count="4">
    <tableColumn name="Date" id="1"/>
    <tableColumn name="Weight" id="2"/>
    <tableColumn name="Goal Weight" id="3"/>
    <tableColumn name="Notes" id="4"/>
  </tableColumns>
  <tableStyleInfo name="Weight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4.0"/>
    <col customWidth="1" min="3" max="3" width="3.0"/>
    <col customWidth="1" min="4" max="4" width="13.0"/>
    <col customWidth="1" min="5" max="7" width="12.0"/>
    <col customWidth="1" min="8" max="8" width="10.0"/>
    <col customWidth="1" min="9" max="26" width="8.63"/>
  </cols>
  <sheetData>
    <row r="1" ht="25.5" customHeight="1">
      <c r="A1" s="1" t="s">
        <v>0</v>
      </c>
    </row>
    <row r="3">
      <c r="A3" s="2" t="s">
        <v>1</v>
      </c>
      <c r="B3" s="2">
        <v>2000.0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6</v>
      </c>
    </row>
    <row r="4">
      <c r="A4" s="2" t="s">
        <v>7</v>
      </c>
      <c r="B4" s="2">
        <v>100.0</v>
      </c>
      <c r="D4" s="5">
        <f>TODAY()</f>
        <v>46201</v>
      </c>
      <c r="E4" s="6">
        <f>SUMIFS('Meal Log'!E:E,'Meal Log'!A:A,D4)</f>
        <v>1015</v>
      </c>
      <c r="F4" s="6">
        <f>SUMIFS('Meal Log'!F:F,'Meal Log'!A:A,D4)</f>
        <v>57</v>
      </c>
      <c r="G4" s="7">
        <f>IF(H4=0,"",ROUND(SUMIFS('Meal Log'!G:G,'Meal Log'!A:A,D4)/H4,1))</f>
        <v>8.7</v>
      </c>
      <c r="H4" s="8">
        <f>COUNTIF('Meal Log'!A:A,D4)</f>
        <v>4</v>
      </c>
    </row>
    <row r="5">
      <c r="A5" s="2" t="s">
        <v>8</v>
      </c>
      <c r="B5" s="2">
        <v>7.0</v>
      </c>
    </row>
    <row r="6">
      <c r="A6" s="2" t="s">
        <v>9</v>
      </c>
      <c r="B6" s="2">
        <v>170.0</v>
      </c>
    </row>
    <row r="7">
      <c r="A7" s="2" t="s">
        <v>10</v>
      </c>
      <c r="B7" s="2" t="str">
        <f>IFERROR(LOOKUP(2,1/('Weight Log'!B:B&lt;&gt;""),'Weight Log'!B:B),"")</f>
        <v/>
      </c>
    </row>
    <row r="8">
      <c r="A8" s="2" t="s">
        <v>11</v>
      </c>
      <c r="B8" s="2" t="str">
        <f>IF(B7="","",B7-B6)</f>
        <v/>
      </c>
    </row>
    <row r="9">
      <c r="A9" s="2" t="s">
        <v>12</v>
      </c>
      <c r="B9" s="2" t="str">
        <f>IFERROR(LOOKUP(2,1/('Daily Summary'!G:G&lt;&gt;""),'Daily Summary'!G:G),"")</f>
        <v>7-Day Avg Calories</v>
      </c>
    </row>
    <row r="12">
      <c r="A12" s="9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32.0"/>
    <col customWidth="1" min="4" max="4" width="11.0"/>
    <col customWidth="1" min="5" max="5" width="12.0"/>
    <col customWidth="1" min="6" max="6" width="13.0"/>
    <col customWidth="1" min="7" max="7" width="16.0"/>
    <col customWidth="1" min="8" max="8" width="30.0"/>
    <col customWidth="1" min="9" max="9" width="18.0"/>
    <col customWidth="1" min="10" max="26" width="8.63"/>
  </cols>
  <sheetData>
    <row r="1" ht="25.5" customHeight="1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3</v>
      </c>
      <c r="F1" s="10" t="s">
        <v>18</v>
      </c>
      <c r="G1" s="10" t="s">
        <v>19</v>
      </c>
      <c r="H1" s="10" t="s">
        <v>20</v>
      </c>
      <c r="I1" s="10" t="s">
        <v>21</v>
      </c>
    </row>
    <row r="2">
      <c r="A2" s="11">
        <v>46196.0</v>
      </c>
      <c r="B2" s="12" t="s">
        <v>22</v>
      </c>
      <c r="C2" s="12" t="s">
        <v>23</v>
      </c>
      <c r="D2" s="13">
        <v>1.0</v>
      </c>
      <c r="E2" s="13">
        <f>IF($C2="","",IFERROR($D2*VLOOKUP($C2,Foods!$A:$E,3,FALSE),"Add to Foods"))</f>
        <v>400</v>
      </c>
      <c r="F2" s="13">
        <f>IF($C2="","",IFERROR($D2*VLOOKUP($C2,Foods!$A:$E,4,FALSE),"Add to Foods"))</f>
        <v>12</v>
      </c>
      <c r="G2" s="13">
        <f>IF($C2="","",IFERROR($D2*VLOOKUP($C2,Foods!$A:$E,5,FALSE),"Add to Foods"))</f>
        <v>6</v>
      </c>
      <c r="H2" s="12"/>
      <c r="I2" s="12" t="str">
        <f>IF($C2="","",IF(COUNTIF(Foods!$A:$A,$C2)&gt;0,"Yes","No - add nickname"))</f>
        <v>Yes</v>
      </c>
    </row>
    <row r="3">
      <c r="A3" s="11">
        <v>46196.0</v>
      </c>
      <c r="B3" s="12" t="s">
        <v>22</v>
      </c>
      <c r="C3" s="12" t="s">
        <v>24</v>
      </c>
      <c r="D3" s="13">
        <v>1.0</v>
      </c>
      <c r="E3" s="13">
        <f>IF($C3="","",IFERROR($D3*VLOOKUP($C3,Foods!$A:$E,3,FALSE),"Add to Foods"))</f>
        <v>450</v>
      </c>
      <c r="F3" s="13">
        <f>IF($C3="","",IFERROR($D3*VLOOKUP($C3,Foods!$A:$E,4,FALSE),"Add to Foods"))</f>
        <v>35</v>
      </c>
      <c r="G3" s="13">
        <f>IF($C3="","",IFERROR($D3*VLOOKUP($C3,Foods!$A:$E,5,FALSE),"Add to Foods"))</f>
        <v>9</v>
      </c>
      <c r="H3" s="12"/>
      <c r="I3" s="12" t="str">
        <f>IF($C3="","",IF(COUNTIF(Foods!$A:$A,$C3)&gt;0,"Yes","No - add nickname"))</f>
        <v>Yes</v>
      </c>
    </row>
    <row r="4">
      <c r="A4" s="11">
        <v>46196.0</v>
      </c>
      <c r="B4" s="12" t="s">
        <v>25</v>
      </c>
      <c r="C4" s="12" t="s">
        <v>26</v>
      </c>
      <c r="D4" s="13">
        <v>1.0</v>
      </c>
      <c r="E4" s="13">
        <f>IF($C4="","",IFERROR($D4*VLOOKUP($C4,Foods!$A:$E,3,FALSE),"Add to Foods"))</f>
        <v>500</v>
      </c>
      <c r="F4" s="13">
        <f>IF($C4="","",IFERROR($D4*VLOOKUP($C4,Foods!$A:$E,4,FALSE),"Add to Foods"))</f>
        <v>18</v>
      </c>
      <c r="G4" s="13">
        <f>IF($C4="","",IFERROR($D4*VLOOKUP($C4,Foods!$A:$E,5,FALSE),"Add to Foods"))</f>
        <v>7</v>
      </c>
      <c r="H4" s="12"/>
      <c r="I4" s="12" t="str">
        <f>IF($C4="","",IF(COUNTIF(Foods!$A:$A,$C4)&gt;0,"Yes","No - add nickname"))</f>
        <v>Yes</v>
      </c>
    </row>
    <row r="5">
      <c r="A5" s="11">
        <v>46196.0</v>
      </c>
      <c r="B5" s="14" t="s">
        <v>25</v>
      </c>
      <c r="C5" s="14" t="s">
        <v>27</v>
      </c>
      <c r="D5" s="15">
        <v>1.0</v>
      </c>
      <c r="E5" s="13">
        <f>IF($C5="","",IFERROR($D5*VLOOKUP($C5,Foods!$A:$E,3,FALSE),"Add to Foods"))</f>
        <v>60</v>
      </c>
      <c r="F5" s="13">
        <f>IF($C5="","",IFERROR($D5*VLOOKUP($C5,Foods!$A:$E,4,FALSE),"Add to Foods"))</f>
        <v>1</v>
      </c>
      <c r="G5" s="13">
        <f>IF($C5="","",IFERROR($D5*VLOOKUP($C5,Foods!$A:$E,5,FALSE),"Add to Foods"))</f>
        <v>9</v>
      </c>
      <c r="H5" s="12"/>
      <c r="I5" s="12" t="str">
        <f>IF($C5="","",IF(COUNTIF(Foods!$A:$A,$C5)&gt;0,"Yes","No - add nickname"))</f>
        <v>Yes</v>
      </c>
    </row>
    <row r="6">
      <c r="A6" s="11">
        <v>46196.0</v>
      </c>
      <c r="B6" s="14" t="s">
        <v>25</v>
      </c>
      <c r="C6" s="14" t="s">
        <v>28</v>
      </c>
      <c r="D6" s="15">
        <v>1.0</v>
      </c>
      <c r="E6" s="13">
        <f>IF($C6="","",IFERROR($D6*VLOOKUP($C6,Foods!$A:$E,3,FALSE),"Add to Foods"))</f>
        <v>180</v>
      </c>
      <c r="F6" s="13">
        <f>IF($C6="","",IFERROR($D6*VLOOKUP($C6,Foods!$A:$E,4,FALSE),"Add to Foods"))</f>
        <v>3</v>
      </c>
      <c r="G6" s="13">
        <f>IF($C6="","",IFERROR($D6*VLOOKUP($C6,Foods!$A:$E,5,FALSE),"Add to Foods"))</f>
        <v>4</v>
      </c>
      <c r="H6" s="12"/>
      <c r="I6" s="14" t="s">
        <v>29</v>
      </c>
    </row>
    <row r="7">
      <c r="A7" s="11">
        <v>46196.0</v>
      </c>
      <c r="B7" s="12" t="s">
        <v>30</v>
      </c>
      <c r="C7" s="12" t="s">
        <v>31</v>
      </c>
      <c r="D7" s="13">
        <v>1.0</v>
      </c>
      <c r="E7" s="13">
        <f>IF($C7="","",IFERROR($D7*VLOOKUP($C7,Foods!$A:$E,3,FALSE),"Add to Foods"))</f>
        <v>650</v>
      </c>
      <c r="F7" s="13">
        <f>IF($C7="","",IFERROR($D7*VLOOKUP($C7,Foods!$A:$E,4,FALSE),"Add to Foods"))</f>
        <v>18</v>
      </c>
      <c r="G7" s="13">
        <f>IF($C7="","",IFERROR($D7*VLOOKUP($C7,Foods!$A:$E,5,FALSE),"Add to Foods"))</f>
        <v>6</v>
      </c>
      <c r="H7" s="12"/>
      <c r="I7" s="12" t="str">
        <f>IF($C7="","",IF(COUNTIF(Foods!$A:$A,$C7)&gt;0,"Yes","No - add nickname"))</f>
        <v>Yes</v>
      </c>
    </row>
    <row r="8">
      <c r="A8" s="11">
        <v>46196.0</v>
      </c>
      <c r="B8" s="12" t="s">
        <v>32</v>
      </c>
      <c r="C8" s="12" t="s">
        <v>33</v>
      </c>
      <c r="D8" s="13">
        <v>1.0</v>
      </c>
      <c r="E8" s="13">
        <f>IF($C8="","",IFERROR($D8*VLOOKUP($C8,Foods!$A:$E,3,FALSE),"Add to Foods"))</f>
        <v>700</v>
      </c>
      <c r="F8" s="13">
        <f>IF($C8="","",IFERROR($D8*VLOOKUP($C8,Foods!$A:$E,4,FALSE),"Add to Foods"))</f>
        <v>20</v>
      </c>
      <c r="G8" s="13">
        <f>IF($C8="","",IFERROR($D8*VLOOKUP($C8,Foods!$A:$E,5,FALSE),"Add to Foods"))</f>
        <v>5</v>
      </c>
      <c r="H8" s="12"/>
      <c r="I8" s="12" t="str">
        <f>IF($C8="","",IF(COUNTIF(Foods!$A:$A,$C8)&gt;0,"Yes","No - add nickname"))</f>
        <v>Yes</v>
      </c>
    </row>
    <row r="9">
      <c r="A9" s="11">
        <v>46196.0</v>
      </c>
      <c r="B9" s="12" t="s">
        <v>34</v>
      </c>
      <c r="C9" s="12" t="s">
        <v>35</v>
      </c>
      <c r="D9" s="13">
        <v>1.0</v>
      </c>
      <c r="E9" s="13">
        <f>IF($C9="","",IFERROR($D9*VLOOKUP($C9,Foods!$A:$E,3,FALSE),"Add to Foods"))</f>
        <v>450</v>
      </c>
      <c r="F9" s="13">
        <f>IF($C9="","",IFERROR($D9*VLOOKUP($C9,Foods!$A:$E,4,FALSE),"Add to Foods"))</f>
        <v>3</v>
      </c>
      <c r="G9" s="13">
        <f>IF($C9="","",IFERROR($D9*VLOOKUP($C9,Foods!$A:$E,5,FALSE),"Add to Foods"))</f>
        <v>2</v>
      </c>
      <c r="H9" s="12"/>
      <c r="I9" s="12" t="str">
        <f>IF($C9="","",IF(COUNTIF(Foods!$A:$A,$C9)&gt;0,"Yes","No - add nickname"))</f>
        <v>Yes</v>
      </c>
    </row>
    <row r="10">
      <c r="A10" s="11">
        <v>46197.0</v>
      </c>
      <c r="B10" s="14" t="s">
        <v>22</v>
      </c>
      <c r="C10" s="14" t="s">
        <v>36</v>
      </c>
      <c r="D10" s="15">
        <v>1.0</v>
      </c>
      <c r="E10" s="13">
        <f>IF($C10="","",IFERROR($D10*VLOOKUP($C10,Foods!$A:$E,3,FALSE),"Add to Foods"))</f>
        <v>60</v>
      </c>
      <c r="F10" s="13">
        <f>IF($C10="","",IFERROR($D10*VLOOKUP($C10,Foods!$A:$E,4,FALSE),"Add to Foods"))</f>
        <v>1</v>
      </c>
      <c r="G10" s="13">
        <f>IF($C10="","",IFERROR($D10*VLOOKUP($C10,Foods!$A:$E,5,FALSE),"Add to Foods"))</f>
        <v>9</v>
      </c>
      <c r="H10" s="12"/>
      <c r="I10" s="12" t="str">
        <f>IF($C10="","",IF(COUNTIF(Foods!$A:$A,$C10)&gt;0,"Yes","No - add nickname"))</f>
        <v>Yes</v>
      </c>
    </row>
    <row r="11">
      <c r="A11" s="11">
        <v>46197.0</v>
      </c>
      <c r="B11" s="14" t="s">
        <v>22</v>
      </c>
      <c r="C11" s="14" t="s">
        <v>24</v>
      </c>
      <c r="D11" s="15">
        <v>1.0</v>
      </c>
      <c r="E11" s="13">
        <f>IF($C11="","",IFERROR($D11*VLOOKUP($C11,Foods!$A:$E,3,FALSE),"Add to Foods"))</f>
        <v>450</v>
      </c>
      <c r="F11" s="13">
        <f>IF($C11="","",IFERROR($D11*VLOOKUP($C11,Foods!$A:$E,4,FALSE),"Add to Foods"))</f>
        <v>35</v>
      </c>
      <c r="G11" s="13">
        <f>IF($C11="","",IFERROR($D11*VLOOKUP($C11,Foods!$A:$E,5,FALSE),"Add to Foods"))</f>
        <v>9</v>
      </c>
      <c r="H11" s="12"/>
      <c r="I11" s="12" t="str">
        <f>IF($C11="","",IF(COUNTIF(Foods!$A:$A,$C11)&gt;0,"Yes","No - add nickname"))</f>
        <v>Yes</v>
      </c>
    </row>
    <row r="12">
      <c r="A12" s="11">
        <v>46197.0</v>
      </c>
      <c r="B12" s="14" t="s">
        <v>25</v>
      </c>
      <c r="C12" s="14" t="s">
        <v>37</v>
      </c>
      <c r="D12" s="15">
        <v>1.0</v>
      </c>
      <c r="E12" s="13">
        <f>IF($C12="","",IFERROR($D12*VLOOKUP($C12,Foods!$A:$E,3,FALSE),"Add to Foods"))</f>
        <v>460</v>
      </c>
      <c r="F12" s="13">
        <f>IF($C12="","",IFERROR($D12*VLOOKUP($C12,Foods!$A:$E,4,FALSE),"Add to Foods"))</f>
        <v>29</v>
      </c>
      <c r="G12" s="13">
        <f>IF($C12="","",IFERROR($D12*VLOOKUP($C12,Foods!$A:$E,5,FALSE),"Add to Foods"))</f>
        <v>7</v>
      </c>
      <c r="H12" s="12"/>
      <c r="I12" s="12" t="str">
        <f>IF($C12="","",IF(COUNTIF(Foods!$A:$A,$C12)&gt;0,"Yes","No - add nickname"))</f>
        <v>Yes</v>
      </c>
    </row>
    <row r="13">
      <c r="A13" s="11">
        <v>46197.0</v>
      </c>
      <c r="B13" s="14" t="s">
        <v>25</v>
      </c>
      <c r="C13" s="14" t="s">
        <v>38</v>
      </c>
      <c r="D13" s="15">
        <v>1.0</v>
      </c>
      <c r="E13" s="13">
        <f>IF($C13="","",IFERROR($D13*VLOOKUP($C13,Foods!$A:$E,3,FALSE),"Add to Foods"))</f>
        <v>50</v>
      </c>
      <c r="F13" s="13">
        <f>IF($C13="","",IFERROR($D13*VLOOKUP($C13,Foods!$A:$E,4,FALSE),"Add to Foods"))</f>
        <v>1</v>
      </c>
      <c r="G13" s="13">
        <f>IF($C13="","",IFERROR($D13*VLOOKUP($C13,Foods!$A:$E,5,FALSE),"Add to Foods"))</f>
        <v>9</v>
      </c>
      <c r="H13" s="12"/>
      <c r="I13" s="12" t="str">
        <f>IF($C13="","",IF(COUNTIF(Foods!$A:$A,$C13)&gt;0,"Yes","No - add nickname"))</f>
        <v>Yes</v>
      </c>
    </row>
    <row r="14">
      <c r="A14" s="11">
        <v>46197.0</v>
      </c>
      <c r="B14" s="14" t="s">
        <v>30</v>
      </c>
      <c r="C14" s="14" t="s">
        <v>39</v>
      </c>
      <c r="D14" s="15">
        <v>1.0</v>
      </c>
      <c r="E14" s="13">
        <f>IF($C14="","",IFERROR($D14*VLOOKUP($C14,Foods!$A:$E,3,FALSE),"Add to Foods"))</f>
        <v>40</v>
      </c>
      <c r="F14" s="13">
        <f>IF($C14="","",IFERROR($D14*VLOOKUP($C14,Foods!$A:$E,4,FALSE),"Add to Foods"))</f>
        <v>0</v>
      </c>
      <c r="G14" s="13">
        <f>IF($C14="","",IFERROR($D14*VLOOKUP($C14,Foods!$A:$E,5,FALSE),"Add to Foods"))</f>
        <v>7</v>
      </c>
      <c r="H14" s="12"/>
      <c r="I14" s="12" t="str">
        <f>IF($C14="","",IF(COUNTIF(Foods!$A:$A,$C14)&gt;0,"Yes","No - add nickname"))</f>
        <v>Yes</v>
      </c>
    </row>
    <row r="15">
      <c r="A15" s="11">
        <v>46197.0</v>
      </c>
      <c r="B15" s="14" t="s">
        <v>32</v>
      </c>
      <c r="C15" s="14" t="s">
        <v>40</v>
      </c>
      <c r="D15" s="15">
        <v>1.5</v>
      </c>
      <c r="E15" s="13">
        <f>IF($C15="","",IFERROR($D15*VLOOKUP($C15,Foods!$A:$E,3,FALSE),"Add to Foods"))</f>
        <v>285</v>
      </c>
      <c r="F15" s="13">
        <f>IF($C15="","",IFERROR($D15*VLOOKUP($C15,Foods!$A:$E,4,FALSE),"Add to Foods"))</f>
        <v>52.5</v>
      </c>
      <c r="G15" s="13">
        <f>IF($C15="","",IFERROR($D15*VLOOKUP($C15,Foods!$A:$E,5,FALSE),"Add to Foods"))</f>
        <v>15</v>
      </c>
      <c r="H15" s="12"/>
      <c r="I15" s="12" t="str">
        <f>IF($C15="","",IF(COUNTIF(Foods!$A:$A,$C15)&gt;0,"Yes","No - add nickname"))</f>
        <v>Yes</v>
      </c>
    </row>
    <row r="16">
      <c r="A16" s="11">
        <v>46197.0</v>
      </c>
      <c r="B16" s="14" t="s">
        <v>32</v>
      </c>
      <c r="C16" s="14" t="s">
        <v>41</v>
      </c>
      <c r="D16" s="15">
        <v>2.0</v>
      </c>
      <c r="E16" s="13">
        <f>IF($C16="","",IFERROR($D16*VLOOKUP($C16,Foods!$A:$E,3,FALSE),"Add to Foods"))</f>
        <v>360</v>
      </c>
      <c r="F16" s="13">
        <f>IF($C16="","",IFERROR($D16*VLOOKUP($C16,Foods!$A:$E,4,FALSE),"Add to Foods"))</f>
        <v>8</v>
      </c>
      <c r="G16" s="13">
        <f>IF($C16="","",IFERROR($D16*VLOOKUP($C16,Foods!$A:$E,5,FALSE),"Add to Foods"))</f>
        <v>16</v>
      </c>
      <c r="H16" s="12"/>
      <c r="I16" s="12" t="str">
        <f>IF($C16="","",IF(COUNTIF(Foods!$A:$A,$C16)&gt;0,"Yes","No - add nickname"))</f>
        <v>Yes</v>
      </c>
    </row>
    <row r="17">
      <c r="A17" s="11">
        <v>46197.0</v>
      </c>
      <c r="B17" s="14" t="s">
        <v>32</v>
      </c>
      <c r="C17" s="14" t="s">
        <v>42</v>
      </c>
      <c r="D17" s="15">
        <v>1.0</v>
      </c>
      <c r="E17" s="13">
        <f>IF($C17="","",IFERROR($D17*VLOOKUP($C17,Foods!$A:$E,3,FALSE),"Add to Foods"))</f>
        <v>55</v>
      </c>
      <c r="F17" s="13">
        <f>IF($C17="","",IFERROR($D17*VLOOKUP($C17,Foods!$A:$E,4,FALSE),"Add to Foods"))</f>
        <v>4</v>
      </c>
      <c r="G17" s="13">
        <f>IF($C17="","",IFERROR($D17*VLOOKUP($C17,Foods!$A:$E,5,FALSE),"Add to Foods"))</f>
        <v>10</v>
      </c>
      <c r="H17" s="12"/>
      <c r="I17" s="12" t="str">
        <f>IF($C17="","",IF(COUNTIF(Foods!$A:$A,$C17)&gt;0,"Yes","No - add nickname"))</f>
        <v>Yes</v>
      </c>
    </row>
    <row r="18">
      <c r="A18" s="11">
        <v>46197.0</v>
      </c>
      <c r="B18" s="14" t="s">
        <v>32</v>
      </c>
      <c r="C18" s="14" t="s">
        <v>43</v>
      </c>
      <c r="D18" s="15">
        <v>1.0</v>
      </c>
      <c r="E18" s="13">
        <f>IF($C18="","",IFERROR($D18*VLOOKUP($C18,Foods!$A:$E,3,FALSE),"Add to Foods"))</f>
        <v>190</v>
      </c>
      <c r="F18" s="13">
        <f>IF($C18="","",IFERROR($D18*VLOOKUP($C18,Foods!$A:$E,4,FALSE),"Add to Foods"))</f>
        <v>18</v>
      </c>
      <c r="G18" s="13">
        <f>IF($C18="","",IFERROR($D18*VLOOKUP($C18,Foods!$A:$E,5,FALSE),"Add to Foods"))</f>
        <v>9</v>
      </c>
      <c r="H18" s="12"/>
      <c r="I18" s="12" t="str">
        <f>IF($C18="","",IF(COUNTIF(Foods!$A:$A,$C18)&gt;0,"Yes","No - add nickname"))</f>
        <v>Yes</v>
      </c>
    </row>
    <row r="19">
      <c r="A19" s="11">
        <v>46197.0</v>
      </c>
      <c r="B19" s="14" t="s">
        <v>32</v>
      </c>
      <c r="C19" s="14" t="s">
        <v>44</v>
      </c>
      <c r="D19" s="15">
        <v>1.0</v>
      </c>
      <c r="E19" s="13">
        <f>IF($C19="","",IFERROR($D19*VLOOKUP($C19,Foods!$A:$E,3,FALSE),"Add to Foods"))</f>
        <v>105</v>
      </c>
      <c r="F19" s="13">
        <f>IF($C19="","",IFERROR($D19*VLOOKUP($C19,Foods!$A:$E,4,FALSE),"Add to Foods"))</f>
        <v>1</v>
      </c>
      <c r="G19" s="13">
        <f>IF($C19="","",IFERROR($D19*VLOOKUP($C19,Foods!$A:$E,5,FALSE),"Add to Foods"))</f>
        <v>8</v>
      </c>
      <c r="H19" s="12"/>
      <c r="I19" s="12" t="str">
        <f>IF($C19="","",IF(COUNTIF(Foods!$A:$A,$C19)&gt;0,"Yes","No - add nickname"))</f>
        <v>Yes</v>
      </c>
    </row>
    <row r="20">
      <c r="A20" s="11">
        <v>46198.0</v>
      </c>
      <c r="B20" s="14" t="s">
        <v>22</v>
      </c>
      <c r="C20" s="14" t="s">
        <v>23</v>
      </c>
      <c r="D20" s="15">
        <v>1.0</v>
      </c>
      <c r="E20" s="13">
        <f>IF($C20="","",IFERROR($D20*VLOOKUP($C20,Foods!$A:$E,3,FALSE),"Add to Foods"))</f>
        <v>400</v>
      </c>
      <c r="F20" s="13">
        <f>IF($C20="","",IFERROR($D20*VLOOKUP($C20,Foods!$A:$E,4,FALSE),"Add to Foods"))</f>
        <v>12</v>
      </c>
      <c r="G20" s="13">
        <f>IF($C20="","",IFERROR($D20*VLOOKUP($C20,Foods!$A:$E,5,FALSE),"Add to Foods"))</f>
        <v>6</v>
      </c>
      <c r="H20" s="12"/>
      <c r="I20" s="12" t="str">
        <f>IF($C20="","",IF(COUNTIF(Foods!$A:$A,$C20)&gt;0,"Yes","No - add nickname"))</f>
        <v>Yes</v>
      </c>
    </row>
    <row r="21">
      <c r="A21" s="11">
        <v>46198.0</v>
      </c>
      <c r="B21" s="14" t="s">
        <v>22</v>
      </c>
      <c r="C21" s="14" t="s">
        <v>45</v>
      </c>
      <c r="D21" s="15">
        <v>1.0</v>
      </c>
      <c r="E21" s="13">
        <f>IF($C21="","",IFERROR($D21*VLOOKUP($C21,Foods!$A:$E,3,FALSE),"Add to Foods"))</f>
        <v>0</v>
      </c>
      <c r="F21" s="13">
        <f>IF($C21="","",IFERROR($D21*VLOOKUP($C21,Foods!$A:$E,4,FALSE),"Add to Foods"))</f>
        <v>0</v>
      </c>
      <c r="G21" s="13">
        <f>IF($C21="","",IFERROR($D21*VLOOKUP($C21,Foods!$A:$E,5,FALSE),"Add to Foods"))</f>
        <v>10</v>
      </c>
      <c r="H21" s="12"/>
      <c r="I21" s="12" t="str">
        <f>IF($C21="","",IF(COUNTIF(Foods!$A:$A,$C21)&gt;0,"Yes","No - add nickname"))</f>
        <v>Yes</v>
      </c>
    </row>
    <row r="22">
      <c r="A22" s="11">
        <v>46198.0</v>
      </c>
      <c r="B22" s="14" t="s">
        <v>25</v>
      </c>
      <c r="C22" s="14" t="s">
        <v>46</v>
      </c>
      <c r="D22" s="15">
        <v>1.0</v>
      </c>
      <c r="E22" s="13">
        <f>IF($C22="","",IFERROR($D22*VLOOKUP($C22,Foods!$A:$E,3,FALSE),"Add to Foods"))</f>
        <v>400</v>
      </c>
      <c r="F22" s="13">
        <f>IF($C22="","",IFERROR($D22*VLOOKUP($C22,Foods!$A:$E,4,FALSE),"Add to Foods"))</f>
        <v>12</v>
      </c>
      <c r="G22" s="13">
        <f>IF($C22="","",IFERROR($D22*VLOOKUP($C22,Foods!$A:$E,5,FALSE),"Add to Foods"))</f>
        <v>9</v>
      </c>
      <c r="H22" s="12"/>
      <c r="I22" s="12" t="str">
        <f>IF($C22="","",IF(COUNTIF(Foods!$A:$A,$C22)&gt;0,"Yes","No - add nickname"))</f>
        <v>Yes</v>
      </c>
    </row>
    <row r="23" ht="15.75" customHeight="1">
      <c r="A23" s="11">
        <v>46198.0</v>
      </c>
      <c r="B23" s="14" t="s">
        <v>25</v>
      </c>
      <c r="C23" s="14" t="s">
        <v>47</v>
      </c>
      <c r="D23" s="15">
        <v>1.5</v>
      </c>
      <c r="E23" s="13">
        <f>IF($C23="","",IFERROR($D23*VLOOKUP($C23,Foods!$A:$E,3,FALSE),"Add to Foods"))</f>
        <v>60</v>
      </c>
      <c r="F23" s="13">
        <f>IF($C23="","",IFERROR($D23*VLOOKUP($C23,Foods!$A:$E,4,FALSE),"Add to Foods"))</f>
        <v>3</v>
      </c>
      <c r="G23" s="13">
        <f>IF($C23="","",IFERROR($D23*VLOOKUP($C23,Foods!$A:$E,5,FALSE),"Add to Foods"))</f>
        <v>15</v>
      </c>
      <c r="H23" s="12"/>
      <c r="I23" s="12" t="str">
        <f>IF($C23="","",IF(COUNTIF(Foods!$A:$A,$C23)&gt;0,"Yes","No - add nickname"))</f>
        <v>Yes</v>
      </c>
    </row>
    <row r="24" ht="15.75" customHeight="1">
      <c r="A24" s="11">
        <v>46198.0</v>
      </c>
      <c r="B24" s="14" t="s">
        <v>25</v>
      </c>
      <c r="C24" s="14" t="s">
        <v>38</v>
      </c>
      <c r="D24" s="15">
        <v>1.0</v>
      </c>
      <c r="E24" s="13">
        <f>IF($C24="","",IFERROR($D24*VLOOKUP($C24,Foods!$A:$E,3,FALSE),"Add to Foods"))</f>
        <v>50</v>
      </c>
      <c r="F24" s="13">
        <f>IF($C24="","",IFERROR($D24*VLOOKUP($C24,Foods!$A:$E,4,FALSE),"Add to Foods"))</f>
        <v>1</v>
      </c>
      <c r="G24" s="13">
        <f>IF($C24="","",IFERROR($D24*VLOOKUP($C24,Foods!$A:$E,5,FALSE),"Add to Foods"))</f>
        <v>9</v>
      </c>
      <c r="H24" s="12"/>
      <c r="I24" s="12" t="str">
        <f>IF($C24="","",IF(COUNTIF(Foods!$A:$A,$C24)&gt;0,"Yes","No - add nickname"))</f>
        <v>Yes</v>
      </c>
    </row>
    <row r="25" ht="15.75" customHeight="1">
      <c r="A25" s="11">
        <v>46198.0</v>
      </c>
      <c r="B25" s="14" t="s">
        <v>30</v>
      </c>
      <c r="C25" s="14" t="s">
        <v>44</v>
      </c>
      <c r="D25" s="15">
        <v>1.0</v>
      </c>
      <c r="E25" s="13">
        <f>IF($C25="","",IFERROR($D25*VLOOKUP($C25,Foods!$A:$E,3,FALSE),"Add to Foods"))</f>
        <v>105</v>
      </c>
      <c r="F25" s="13">
        <f>IF($C25="","",IFERROR($D25*VLOOKUP($C25,Foods!$A:$E,4,FALSE),"Add to Foods"))</f>
        <v>1</v>
      </c>
      <c r="G25" s="13">
        <f>IF($C25="","",IFERROR($D25*VLOOKUP($C25,Foods!$A:$E,5,FALSE),"Add to Foods"))</f>
        <v>8</v>
      </c>
      <c r="H25" s="12"/>
      <c r="I25" s="12" t="str">
        <f>IF($C25="","",IF(COUNTIF(Foods!$A:$A,$C25)&gt;0,"Yes","No - add nickname"))</f>
        <v>Yes</v>
      </c>
    </row>
    <row r="26" ht="15.75" customHeight="1">
      <c r="A26" s="11">
        <v>46198.0</v>
      </c>
      <c r="B26" s="14" t="s">
        <v>30</v>
      </c>
      <c r="C26" s="14" t="s">
        <v>48</v>
      </c>
      <c r="D26" s="15">
        <v>1.0</v>
      </c>
      <c r="E26" s="13">
        <f>IF($C26="","",IFERROR($D26*VLOOKUP($C26,Foods!$A:$E,3,FALSE),"Add to Foods"))</f>
        <v>320</v>
      </c>
      <c r="F26" s="13">
        <f>IF($C26="","",IFERROR($D26*VLOOKUP($C26,Foods!$A:$E,4,FALSE),"Add to Foods"))</f>
        <v>10</v>
      </c>
      <c r="G26" s="13">
        <f>IF($C26="","",IFERROR($D26*VLOOKUP($C26,Foods!$A:$E,5,FALSE),"Add to Foods"))</f>
        <v>6</v>
      </c>
      <c r="H26" s="12"/>
      <c r="I26" s="12" t="str">
        <f>IF($C26="","",IF(COUNTIF(Foods!$A:$A,$C26)&gt;0,"Yes","No - add nickname"))</f>
        <v>Yes</v>
      </c>
    </row>
    <row r="27" ht="15.75" customHeight="1">
      <c r="A27" s="11">
        <v>46198.0</v>
      </c>
      <c r="B27" s="14" t="s">
        <v>32</v>
      </c>
      <c r="C27" s="14" t="s">
        <v>49</v>
      </c>
      <c r="D27" s="15">
        <v>0.5</v>
      </c>
      <c r="E27" s="13">
        <f>IF($C27="","",IFERROR($D27*VLOOKUP($C27,Foods!$A:$E,3,FALSE),"Add to Foods"))</f>
        <v>320</v>
      </c>
      <c r="F27" s="13">
        <f>IF($C27="","",IFERROR($D27*VLOOKUP($C27,Foods!$A:$E,4,FALSE),"Add to Foods"))</f>
        <v>19</v>
      </c>
      <c r="G27" s="13">
        <f>IF($C27="","",IFERROR($D27*VLOOKUP($C27,Foods!$A:$E,5,FALSE),"Add to Foods"))</f>
        <v>3.5</v>
      </c>
      <c r="H27" s="12"/>
      <c r="I27" s="12" t="str">
        <f>IF($C27="","",IF(COUNTIF(Foods!$A:$A,$C27)&gt;0,"Yes","No - add nickname"))</f>
        <v>Yes</v>
      </c>
    </row>
    <row r="28" ht="15.75" customHeight="1">
      <c r="A28" s="11">
        <v>46198.0</v>
      </c>
      <c r="B28" s="14" t="s">
        <v>32</v>
      </c>
      <c r="C28" s="14" t="s">
        <v>50</v>
      </c>
      <c r="D28" s="15">
        <v>2.0</v>
      </c>
      <c r="E28" s="13">
        <f>IF($C28="","",IFERROR($D28*VLOOKUP($C28,Foods!$A:$E,3,FALSE),"Add to Foods"))</f>
        <v>280</v>
      </c>
      <c r="F28" s="13">
        <f>IF($C28="","",IFERROR($D28*VLOOKUP($C28,Foods!$A:$E,4,FALSE),"Add to Foods"))</f>
        <v>24</v>
      </c>
      <c r="G28" s="13">
        <f>IF($C28="","",IFERROR($D28*VLOOKUP($C28,Foods!$A:$E,5,FALSE),"Add to Foods"))</f>
        <v>18</v>
      </c>
      <c r="H28" s="12"/>
      <c r="I28" s="12" t="str">
        <f>IF($C28="","",IF(COUNTIF(Foods!$A:$A,$C28)&gt;0,"Yes","No - add nickname"))</f>
        <v>Yes</v>
      </c>
    </row>
    <row r="29" ht="15.75" customHeight="1">
      <c r="A29" s="11">
        <v>46198.0</v>
      </c>
      <c r="B29" s="14" t="s">
        <v>34</v>
      </c>
      <c r="C29" s="14" t="s">
        <v>43</v>
      </c>
      <c r="D29" s="15">
        <v>1.5</v>
      </c>
      <c r="E29" s="13">
        <f>IF($C29="","",IFERROR($D29*VLOOKUP($C29,Foods!$A:$E,3,FALSE),"Add to Foods"))</f>
        <v>285</v>
      </c>
      <c r="F29" s="13">
        <f>IF($C29="","",IFERROR($D29*VLOOKUP($C29,Foods!$A:$E,4,FALSE),"Add to Foods"))</f>
        <v>27</v>
      </c>
      <c r="G29" s="13">
        <f>IF($C29="","",IFERROR($D29*VLOOKUP($C29,Foods!$A:$E,5,FALSE),"Add to Foods"))</f>
        <v>13.5</v>
      </c>
      <c r="H29" s="12"/>
      <c r="I29" s="12" t="str">
        <f>IF($C29="","",IF(COUNTIF(Foods!$A:$A,$C29)&gt;0,"Yes","No - add nickname"))</f>
        <v>Yes</v>
      </c>
    </row>
    <row r="30" ht="15.75" customHeight="1">
      <c r="A30" s="11">
        <v>46199.0</v>
      </c>
      <c r="B30" s="14" t="s">
        <v>22</v>
      </c>
      <c r="C30" s="14" t="s">
        <v>23</v>
      </c>
      <c r="D30" s="15">
        <v>1.0</v>
      </c>
      <c r="E30" s="13">
        <f>IF($C30="","",IFERROR($D30*VLOOKUP($C30,Foods!$A:$E,3,FALSE),"Add to Foods"))</f>
        <v>400</v>
      </c>
      <c r="F30" s="13">
        <f>IF($C30="","",IFERROR($D30*VLOOKUP($C30,Foods!$A:$E,4,FALSE),"Add to Foods"))</f>
        <v>12</v>
      </c>
      <c r="G30" s="13">
        <f>IF($C30="","",IFERROR($D30*VLOOKUP($C30,Foods!$A:$E,5,FALSE),"Add to Foods"))</f>
        <v>6</v>
      </c>
      <c r="H30" s="12"/>
      <c r="I30" s="12" t="str">
        <f>IF($C30="","",IF(COUNTIF(Foods!$A:$A,$C30)&gt;0,"Yes","No - add nickname"))</f>
        <v>Yes</v>
      </c>
    </row>
    <row r="31" ht="15.75" customHeight="1">
      <c r="A31" s="11">
        <v>46199.0</v>
      </c>
      <c r="B31" s="14" t="s">
        <v>22</v>
      </c>
      <c r="C31" s="14" t="s">
        <v>44</v>
      </c>
      <c r="D31" s="15">
        <v>1.0</v>
      </c>
      <c r="E31" s="13">
        <f>IF($C31="","",IFERROR($D31*VLOOKUP($C31,Foods!$A:$E,3,FALSE),"Add to Foods"))</f>
        <v>105</v>
      </c>
      <c r="F31" s="13">
        <f>IF($C31="","",IFERROR($D31*VLOOKUP($C31,Foods!$A:$E,4,FALSE),"Add to Foods"))</f>
        <v>1</v>
      </c>
      <c r="G31" s="13">
        <f>IF($C31="","",IFERROR($D31*VLOOKUP($C31,Foods!$A:$E,5,FALSE),"Add to Foods"))</f>
        <v>8</v>
      </c>
      <c r="H31" s="12"/>
      <c r="I31" s="12" t="str">
        <f>IF($C31="","",IF(COUNTIF(Foods!$A:$A,$C31)&gt;0,"Yes","No - add nickname"))</f>
        <v>Yes</v>
      </c>
    </row>
    <row r="32" ht="15.75" customHeight="1">
      <c r="A32" s="11">
        <v>46199.0</v>
      </c>
      <c r="B32" s="14" t="s">
        <v>22</v>
      </c>
      <c r="C32" s="14" t="s">
        <v>45</v>
      </c>
      <c r="D32" s="15">
        <v>1.0</v>
      </c>
      <c r="E32" s="13">
        <f>IF($C32="","",IFERROR($D32*VLOOKUP($C32,Foods!$A:$E,3,FALSE),"Add to Foods"))</f>
        <v>0</v>
      </c>
      <c r="F32" s="13">
        <f>IF($C32="","",IFERROR($D32*VLOOKUP($C32,Foods!$A:$E,4,FALSE),"Add to Foods"))</f>
        <v>0</v>
      </c>
      <c r="G32" s="13">
        <f>IF($C32="","",IFERROR($D32*VLOOKUP($C32,Foods!$A:$E,5,FALSE),"Add to Foods"))</f>
        <v>10</v>
      </c>
      <c r="H32" s="12"/>
      <c r="I32" s="12" t="str">
        <f>IF($C32="","",IF(COUNTIF(Foods!$A:$A,$C32)&gt;0,"Yes","No - add nickname"))</f>
        <v>Yes</v>
      </c>
    </row>
    <row r="33" ht="15.75" customHeight="1">
      <c r="A33" s="11">
        <v>46199.0</v>
      </c>
      <c r="B33" s="14" t="s">
        <v>25</v>
      </c>
      <c r="C33" s="14" t="s">
        <v>51</v>
      </c>
      <c r="D33" s="15">
        <v>1.0</v>
      </c>
      <c r="E33" s="13">
        <f>IF($C33="","",IFERROR($D33*VLOOKUP($C33,Foods!$A:$E,3,FALSE),"Add to Foods"))</f>
        <v>395</v>
      </c>
      <c r="F33" s="13">
        <f>IF($C33="","",IFERROR($D33*VLOOKUP($C33,Foods!$A:$E,4,FALSE),"Add to Foods"))</f>
        <v>18</v>
      </c>
      <c r="G33" s="13">
        <f>IF($C33="","",IFERROR($D33*VLOOKUP($C33,Foods!$A:$E,5,FALSE),"Add to Foods"))</f>
        <v>7</v>
      </c>
      <c r="H33" s="12"/>
      <c r="I33" s="12" t="str">
        <f>IF($C33="","",IF(COUNTIF(Foods!$A:$A,$C33)&gt;0,"Yes","No - add nickname"))</f>
        <v>Yes</v>
      </c>
    </row>
    <row r="34" ht="15.75" customHeight="1">
      <c r="A34" s="11">
        <v>46199.0</v>
      </c>
      <c r="B34" s="14" t="s">
        <v>25</v>
      </c>
      <c r="C34" s="14" t="s">
        <v>47</v>
      </c>
      <c r="D34" s="15">
        <v>1.5</v>
      </c>
      <c r="E34" s="13">
        <f>IF($C34="","",IFERROR($D34*VLOOKUP($C34,Foods!$A:$E,3,FALSE),"Add to Foods"))</f>
        <v>60</v>
      </c>
      <c r="F34" s="13">
        <f>IF($C34="","",IFERROR($D34*VLOOKUP($C34,Foods!$A:$E,4,FALSE),"Add to Foods"))</f>
        <v>3</v>
      </c>
      <c r="G34" s="13">
        <f>IF($C34="","",IFERROR($D34*VLOOKUP($C34,Foods!$A:$E,5,FALSE),"Add to Foods"))</f>
        <v>15</v>
      </c>
      <c r="H34" s="12"/>
      <c r="I34" s="12" t="str">
        <f>IF($C34="","",IF(COUNTIF(Foods!$A:$A,$C34)&gt;0,"Yes","No - add nickname"))</f>
        <v>Yes</v>
      </c>
    </row>
    <row r="35" ht="15.75" customHeight="1">
      <c r="A35" s="11">
        <v>46199.0</v>
      </c>
      <c r="B35" s="14" t="s">
        <v>30</v>
      </c>
      <c r="C35" s="14" t="s">
        <v>31</v>
      </c>
      <c r="D35" s="15">
        <v>0.5</v>
      </c>
      <c r="E35" s="13">
        <f>IF($C35="","",IFERROR($D35*VLOOKUP($C35,Foods!$A:$E,3,FALSE),"Add to Foods"))</f>
        <v>325</v>
      </c>
      <c r="F35" s="13">
        <f>IF($C35="","",IFERROR($D35*VLOOKUP($C35,Foods!$A:$E,4,FALSE),"Add to Foods"))</f>
        <v>9</v>
      </c>
      <c r="G35" s="13">
        <f>IF($C35="","",IFERROR($D35*VLOOKUP($C35,Foods!$A:$E,5,FALSE),"Add to Foods"))</f>
        <v>3</v>
      </c>
      <c r="H35" s="12"/>
      <c r="I35" s="12" t="str">
        <f>IF($C35="","",IF(COUNTIF(Foods!$A:$A,$C35)&gt;0,"Yes","No - add nickname"))</f>
        <v>Yes</v>
      </c>
    </row>
    <row r="36" ht="15.75" customHeight="1">
      <c r="A36" s="11">
        <v>46199.0</v>
      </c>
      <c r="B36" s="14" t="s">
        <v>32</v>
      </c>
      <c r="C36" s="14" t="s">
        <v>40</v>
      </c>
      <c r="D36" s="15">
        <v>1.5</v>
      </c>
      <c r="E36" s="13">
        <f>IF($C36="","",IFERROR($D36*VLOOKUP($C36,Foods!$A:$E,3,FALSE),"Add to Foods"))</f>
        <v>285</v>
      </c>
      <c r="F36" s="13">
        <f>IF($C36="","",IFERROR($D36*VLOOKUP($C36,Foods!$A:$E,4,FALSE),"Add to Foods"))</f>
        <v>52.5</v>
      </c>
      <c r="G36" s="13">
        <f>IF($C36="","",IFERROR($D36*VLOOKUP($C36,Foods!$A:$E,5,FALSE),"Add to Foods"))</f>
        <v>15</v>
      </c>
      <c r="H36" s="12"/>
      <c r="I36" s="12" t="str">
        <f>IF($C36="","",IF(COUNTIF(Foods!$A:$A,$C36)&gt;0,"Yes","No - add nickname"))</f>
        <v>Yes</v>
      </c>
    </row>
    <row r="37" ht="15.75" customHeight="1">
      <c r="A37" s="11">
        <v>46199.0</v>
      </c>
      <c r="B37" s="14" t="s">
        <v>32</v>
      </c>
      <c r="C37" s="14" t="s">
        <v>41</v>
      </c>
      <c r="D37" s="15">
        <v>1.5</v>
      </c>
      <c r="E37" s="13">
        <f>IF($C37="","",IFERROR($D37*VLOOKUP($C37,Foods!$A:$E,3,FALSE),"Add to Foods"))</f>
        <v>270</v>
      </c>
      <c r="F37" s="13">
        <f>IF($C37="","",IFERROR($D37*VLOOKUP($C37,Foods!$A:$E,4,FALSE),"Add to Foods"))</f>
        <v>6</v>
      </c>
      <c r="G37" s="13">
        <f>IF($C37="","",IFERROR($D37*VLOOKUP($C37,Foods!$A:$E,5,FALSE),"Add to Foods"))</f>
        <v>12</v>
      </c>
      <c r="H37" s="12"/>
      <c r="I37" s="12" t="str">
        <f>IF($C37="","",IF(COUNTIF(Foods!$A:$A,$C37)&gt;0,"Yes","No - add nickname"))</f>
        <v>Yes</v>
      </c>
    </row>
    <row r="38" ht="15.75" customHeight="1">
      <c r="A38" s="11">
        <v>46199.0</v>
      </c>
      <c r="B38" s="14" t="s">
        <v>32</v>
      </c>
      <c r="C38" s="14" t="s">
        <v>42</v>
      </c>
      <c r="D38" s="15">
        <v>1.0</v>
      </c>
      <c r="E38" s="13">
        <f>IF($C38="","",IFERROR($D38*VLOOKUP($C38,Foods!$A:$E,3,FALSE),"Add to Foods"))</f>
        <v>55</v>
      </c>
      <c r="F38" s="13">
        <f>IF($C38="","",IFERROR($D38*VLOOKUP($C38,Foods!$A:$E,4,FALSE),"Add to Foods"))</f>
        <v>4</v>
      </c>
      <c r="G38" s="13">
        <f>IF($C38="","",IFERROR($D38*VLOOKUP($C38,Foods!$A:$E,5,FALSE),"Add to Foods"))</f>
        <v>10</v>
      </c>
      <c r="H38" s="12"/>
      <c r="I38" s="12" t="str">
        <f>IF($C38="","",IF(COUNTIF(Foods!$A:$A,$C38)&gt;0,"Yes","No - add nickname"))</f>
        <v>Yes</v>
      </c>
    </row>
    <row r="39" ht="15.75" customHeight="1">
      <c r="A39" s="11">
        <v>46199.0</v>
      </c>
      <c r="B39" s="14" t="s">
        <v>34</v>
      </c>
      <c r="C39" s="14" t="s">
        <v>43</v>
      </c>
      <c r="D39" s="15">
        <v>1.0</v>
      </c>
      <c r="E39" s="13">
        <f>IF($C39="","",IFERROR($D39*VLOOKUP($C39,Foods!$A:$E,3,FALSE),"Add to Foods"))</f>
        <v>190</v>
      </c>
      <c r="F39" s="13">
        <f>IF($C39="","",IFERROR($D39*VLOOKUP($C39,Foods!$A:$E,4,FALSE),"Add to Foods"))</f>
        <v>18</v>
      </c>
      <c r="G39" s="13">
        <f>IF($C39="","",IFERROR($D39*VLOOKUP($C39,Foods!$A:$E,5,FALSE),"Add to Foods"))</f>
        <v>9</v>
      </c>
      <c r="H39" s="12"/>
      <c r="I39" s="12" t="str">
        <f>IF($C39="","",IF(COUNTIF(Foods!$A:$A,$C39)&gt;0,"Yes","No - add nickname"))</f>
        <v>Yes</v>
      </c>
    </row>
    <row r="40" ht="15.75" customHeight="1">
      <c r="A40" s="11">
        <v>46199.0</v>
      </c>
      <c r="B40" s="14" t="s">
        <v>34</v>
      </c>
      <c r="C40" s="14" t="s">
        <v>52</v>
      </c>
      <c r="D40" s="15">
        <v>1.0</v>
      </c>
      <c r="E40" s="13">
        <f>IF($C40="","",IFERROR($D40*VLOOKUP($C40,Foods!$A:$E,3,FALSE),"Add to Foods"))</f>
        <v>200</v>
      </c>
      <c r="F40" s="13">
        <f>IF($C40="","",IFERROR($D40*VLOOKUP($C40,Foods!$A:$E,4,FALSE),"Add to Foods"))</f>
        <v>4</v>
      </c>
      <c r="G40" s="13">
        <f>IF($C40="","",IFERROR($D40*VLOOKUP($C40,Foods!$A:$E,5,FALSE),"Add to Foods"))</f>
        <v>4</v>
      </c>
      <c r="H40" s="12"/>
      <c r="I40" s="12" t="str">
        <f>IF($C40="","",IF(COUNTIF(Foods!$A:$A,$C40)&gt;0,"Yes","No - add nickname"))</f>
        <v>Yes</v>
      </c>
    </row>
    <row r="41" ht="15.75" customHeight="1">
      <c r="A41" s="11">
        <v>46200.0</v>
      </c>
      <c r="B41" s="14" t="s">
        <v>22</v>
      </c>
      <c r="C41" s="14" t="s">
        <v>53</v>
      </c>
      <c r="D41" s="15">
        <v>3.0</v>
      </c>
      <c r="E41" s="13">
        <f>IF($C41="","",IFERROR($D41*VLOOKUP($C41,Foods!$A:$E,3,FALSE),"Add to Foods"))</f>
        <v>210</v>
      </c>
      <c r="F41" s="13">
        <f>IF($C41="","",IFERROR($D41*VLOOKUP($C41,Foods!$A:$E,4,FALSE),"Add to Foods"))</f>
        <v>18</v>
      </c>
      <c r="G41" s="13">
        <f>IF($C41="","",IFERROR($D41*VLOOKUP($C41,Foods!$A:$E,5,FALSE),"Add to Foods"))</f>
        <v>27</v>
      </c>
      <c r="H41" s="12"/>
      <c r="I41" s="12" t="str">
        <f>IF($C41="","",IF(COUNTIF(Foods!$A:$A,$C41)&gt;0,"Yes","No - add nickname"))</f>
        <v>Yes</v>
      </c>
    </row>
    <row r="42" ht="15.75" customHeight="1">
      <c r="A42" s="11">
        <v>46200.0</v>
      </c>
      <c r="B42" s="14" t="s">
        <v>22</v>
      </c>
      <c r="C42" s="14" t="s">
        <v>36</v>
      </c>
      <c r="D42" s="15">
        <v>1.0</v>
      </c>
      <c r="E42" s="13">
        <f>IF($C42="","",IFERROR($D42*VLOOKUP($C42,Foods!$A:$E,3,FALSE),"Add to Foods"))</f>
        <v>60</v>
      </c>
      <c r="F42" s="13">
        <f>IF($C42="","",IFERROR($D42*VLOOKUP($C42,Foods!$A:$E,4,FALSE),"Add to Foods"))</f>
        <v>1</v>
      </c>
      <c r="G42" s="13">
        <f>IF($C42="","",IFERROR($D42*VLOOKUP($C42,Foods!$A:$E,5,FALSE),"Add to Foods"))</f>
        <v>9</v>
      </c>
      <c r="H42" s="12"/>
      <c r="I42" s="12" t="str">
        <f>IF($C42="","",IF(COUNTIF(Foods!$A:$A,$C42)&gt;0,"Yes","No - add nickname"))</f>
        <v>Yes</v>
      </c>
    </row>
    <row r="43" ht="15.75" customHeight="1">
      <c r="A43" s="11">
        <v>46200.0</v>
      </c>
      <c r="B43" s="14" t="s">
        <v>22</v>
      </c>
      <c r="C43" s="14" t="s">
        <v>45</v>
      </c>
      <c r="D43" s="15">
        <v>1.0</v>
      </c>
      <c r="E43" s="13">
        <f>IF($C43="","",IFERROR($D43*VLOOKUP($C43,Foods!$A:$E,3,FALSE),"Add to Foods"))</f>
        <v>0</v>
      </c>
      <c r="F43" s="13">
        <f>IF($C43="","",IFERROR($D43*VLOOKUP($C43,Foods!$A:$E,4,FALSE),"Add to Foods"))</f>
        <v>0</v>
      </c>
      <c r="G43" s="13">
        <f>IF($C43="","",IFERROR($D43*VLOOKUP($C43,Foods!$A:$E,5,FALSE),"Add to Foods"))</f>
        <v>10</v>
      </c>
      <c r="H43" s="12"/>
      <c r="I43" s="12" t="str">
        <f>IF($C43="","",IF(COUNTIF(Foods!$A:$A,$C43)&gt;0,"Yes","No - add nickname"))</f>
        <v>Yes</v>
      </c>
    </row>
    <row r="44" ht="15.75" customHeight="1">
      <c r="A44" s="11">
        <v>46200.0</v>
      </c>
      <c r="B44" s="14" t="s">
        <v>30</v>
      </c>
      <c r="C44" s="14" t="s">
        <v>44</v>
      </c>
      <c r="D44" s="15">
        <v>1.0</v>
      </c>
      <c r="E44" s="13">
        <f>IF($C44="","",IFERROR($D44*VLOOKUP($C44,Foods!$A:$E,3,FALSE),"Add to Foods"))</f>
        <v>105</v>
      </c>
      <c r="F44" s="13">
        <f>IF($C44="","",IFERROR($D44*VLOOKUP($C44,Foods!$A:$E,4,FALSE),"Add to Foods"))</f>
        <v>1</v>
      </c>
      <c r="G44" s="13">
        <f>IF($C44="","",IFERROR($D44*VLOOKUP($C44,Foods!$A:$E,5,FALSE),"Add to Foods"))</f>
        <v>8</v>
      </c>
      <c r="H44" s="12"/>
      <c r="I44" s="12" t="str">
        <f>IF($C44="","",IF(COUNTIF(Foods!$A:$A,$C44)&gt;0,"Yes","No - add nickname"))</f>
        <v>Yes</v>
      </c>
    </row>
    <row r="45" ht="15.75" customHeight="1">
      <c r="A45" s="11">
        <v>46200.0</v>
      </c>
      <c r="B45" s="14" t="s">
        <v>25</v>
      </c>
      <c r="C45" s="14" t="s">
        <v>46</v>
      </c>
      <c r="D45" s="15">
        <v>1.0</v>
      </c>
      <c r="E45" s="13">
        <f>IF($C45="","",IFERROR($D45*VLOOKUP($C45,Foods!$A:$E,3,FALSE),"Add to Foods"))</f>
        <v>400</v>
      </c>
      <c r="F45" s="13">
        <f>IF($C45="","",IFERROR($D45*VLOOKUP($C45,Foods!$A:$E,4,FALSE),"Add to Foods"))</f>
        <v>12</v>
      </c>
      <c r="G45" s="13">
        <f>IF($C45="","",IFERROR($D45*VLOOKUP($C45,Foods!$A:$E,5,FALSE),"Add to Foods"))</f>
        <v>9</v>
      </c>
      <c r="H45" s="12"/>
      <c r="I45" s="12" t="str">
        <f>IF($C45="","",IF(COUNTIF(Foods!$A:$A,$C45)&gt;0,"Yes","No - add nickname"))</f>
        <v>Yes</v>
      </c>
    </row>
    <row r="46" ht="15.75" customHeight="1">
      <c r="A46" s="11">
        <v>46200.0</v>
      </c>
      <c r="B46" s="14" t="s">
        <v>25</v>
      </c>
      <c r="C46" s="14" t="s">
        <v>47</v>
      </c>
      <c r="D46" s="15">
        <v>1.5</v>
      </c>
      <c r="E46" s="13">
        <f>IF($C46="","",IFERROR($D46*VLOOKUP($C46,Foods!$A:$E,3,FALSE),"Add to Foods"))</f>
        <v>60</v>
      </c>
      <c r="F46" s="13">
        <f>IF($C46="","",IFERROR($D46*VLOOKUP($C46,Foods!$A:$E,4,FALSE),"Add to Foods"))</f>
        <v>3</v>
      </c>
      <c r="G46" s="13">
        <f>IF($C46="","",IFERROR($D46*VLOOKUP($C46,Foods!$A:$E,5,FALSE),"Add to Foods"))</f>
        <v>15</v>
      </c>
      <c r="H46" s="12"/>
      <c r="I46" s="12" t="str">
        <f>IF($C46="","",IF(COUNTIF(Foods!$A:$A,$C46)&gt;0,"Yes","No - add nickname"))</f>
        <v>Yes</v>
      </c>
    </row>
    <row r="47" ht="15.75" customHeight="1">
      <c r="A47" s="11">
        <v>46200.0</v>
      </c>
      <c r="B47" s="14" t="s">
        <v>25</v>
      </c>
      <c r="C47" s="14" t="s">
        <v>24</v>
      </c>
      <c r="D47" s="15">
        <v>1.0</v>
      </c>
      <c r="E47" s="13">
        <f>IF($C47="","",IFERROR($D47*VLOOKUP($C47,Foods!$A:$E,3,FALSE),"Add to Foods"))</f>
        <v>450</v>
      </c>
      <c r="F47" s="13">
        <f>IF($C47="","",IFERROR($D47*VLOOKUP($C47,Foods!$A:$E,4,FALSE),"Add to Foods"))</f>
        <v>35</v>
      </c>
      <c r="G47" s="13">
        <f>IF($C47="","",IFERROR($D47*VLOOKUP($C47,Foods!$A:$E,5,FALSE),"Add to Foods"))</f>
        <v>9</v>
      </c>
      <c r="H47" s="12"/>
      <c r="I47" s="12" t="str">
        <f>IF($C47="","",IF(COUNTIF(Foods!$A:$A,$C47)&gt;0,"Yes","No - add nickname"))</f>
        <v>Yes</v>
      </c>
    </row>
    <row r="48" ht="15.75" customHeight="1">
      <c r="A48" s="11">
        <v>46200.0</v>
      </c>
      <c r="B48" s="14" t="s">
        <v>32</v>
      </c>
      <c r="C48" s="14" t="s">
        <v>54</v>
      </c>
      <c r="D48" s="15">
        <v>2.0</v>
      </c>
      <c r="E48" s="13" t="str">
        <f>IF($C48="","",IFERROR($D48*VLOOKUP($C48,Foods!$A:$E,3,FALSE),"Add to Foods"))</f>
        <v>Add to Foods</v>
      </c>
      <c r="F48" s="13" t="str">
        <f>IF($C48="","",IFERROR($D48*VLOOKUP($C48,Foods!$A:$E,4,FALSE),"Add to Foods"))</f>
        <v>Add to Foods</v>
      </c>
      <c r="G48" s="13" t="str">
        <f>IF($C48="","",IFERROR($D48*VLOOKUP($C48,Foods!$A:$E,5,FALSE),"Add to Foods"))</f>
        <v>Add to Foods</v>
      </c>
      <c r="H48" s="12"/>
      <c r="I48" s="12" t="str">
        <f>IF($C48="","",IF(COUNTIF(Foods!$A:$A,$C48)&gt;0,"Yes","No - add nickname"))</f>
        <v>No - add nickname</v>
      </c>
    </row>
    <row r="49" ht="15.75" customHeight="1">
      <c r="A49" s="11">
        <v>46200.0</v>
      </c>
      <c r="B49" s="14" t="s">
        <v>32</v>
      </c>
      <c r="C49" s="14" t="s">
        <v>55</v>
      </c>
      <c r="D49" s="15">
        <v>1.0</v>
      </c>
      <c r="E49" s="13">
        <f>IF($C49="","",IFERROR($D49*VLOOKUP($C49,Foods!$A:$E,3,FALSE),"Add to Foods"))</f>
        <v>450</v>
      </c>
      <c r="F49" s="13">
        <f>IF($C49="","",IFERROR($D49*VLOOKUP($C49,Foods!$A:$E,4,FALSE),"Add to Foods"))</f>
        <v>35</v>
      </c>
      <c r="G49" s="13">
        <f>IF($C49="","",IFERROR($D49*VLOOKUP($C49,Foods!$A:$E,5,FALSE),"Add to Foods"))</f>
        <v>9</v>
      </c>
      <c r="H49" s="12"/>
      <c r="I49" s="12" t="str">
        <f>IF($C49="","",IF(COUNTIF(Foods!$A:$A,$C49)&gt;0,"Yes","No - add nickname"))</f>
        <v>Yes</v>
      </c>
    </row>
    <row r="50" ht="15.75" customHeight="1">
      <c r="A50" s="11">
        <v>46200.0</v>
      </c>
      <c r="B50" s="14" t="s">
        <v>32</v>
      </c>
      <c r="C50" s="14" t="s">
        <v>56</v>
      </c>
      <c r="D50" s="15">
        <v>2.0</v>
      </c>
      <c r="E50" s="13" t="str">
        <f>IF($C50="","",IFERROR($D50*VLOOKUP($C50,Foods!$A:$E,3,FALSE),"Add to Foods"))</f>
        <v>Add to Foods</v>
      </c>
      <c r="F50" s="13" t="str">
        <f>IF($C50="","",IFERROR($D50*VLOOKUP($C50,Foods!$A:$E,4,FALSE),"Add to Foods"))</f>
        <v>Add to Foods</v>
      </c>
      <c r="G50" s="13" t="str">
        <f>IF($C50="","",IFERROR($D50*VLOOKUP($C50,Foods!$A:$E,5,FALSE),"Add to Foods"))</f>
        <v>Add to Foods</v>
      </c>
      <c r="H50" s="12"/>
      <c r="I50" s="12" t="str">
        <f>IF($C50="","",IF(COUNTIF(Foods!$A:$A,$C50)&gt;0,"Yes","No - add nickname"))</f>
        <v>No - add nickname</v>
      </c>
    </row>
    <row r="51" ht="15.75" customHeight="1">
      <c r="A51" s="11">
        <v>46200.0</v>
      </c>
      <c r="B51" s="14" t="s">
        <v>32</v>
      </c>
      <c r="C51" s="14" t="s">
        <v>43</v>
      </c>
      <c r="D51" s="15">
        <v>1.0</v>
      </c>
      <c r="E51" s="13">
        <f>IF($C51="","",IFERROR($D51*VLOOKUP($C51,Foods!$A:$E,3,FALSE),"Add to Foods"))</f>
        <v>190</v>
      </c>
      <c r="F51" s="13">
        <f>IF($C51="","",IFERROR($D51*VLOOKUP($C51,Foods!$A:$E,4,FALSE),"Add to Foods"))</f>
        <v>18</v>
      </c>
      <c r="G51" s="13">
        <f>IF($C51="","",IFERROR($D51*VLOOKUP($C51,Foods!$A:$E,5,FALSE),"Add to Foods"))</f>
        <v>9</v>
      </c>
      <c r="H51" s="12"/>
      <c r="I51" s="12" t="str">
        <f>IF($C51="","",IF(COUNTIF(Foods!$A:$A,$C51)&gt;0,"Yes","No - add nickname"))</f>
        <v>Yes</v>
      </c>
    </row>
    <row r="52" ht="15.75" customHeight="1">
      <c r="A52" s="11">
        <v>46200.0</v>
      </c>
      <c r="B52" s="14" t="s">
        <v>32</v>
      </c>
      <c r="C52" s="14" t="s">
        <v>44</v>
      </c>
      <c r="D52" s="15">
        <v>1.0</v>
      </c>
      <c r="E52" s="13">
        <f>IF($C52="","",IFERROR($D52*VLOOKUP($C52,Foods!$A:$E,3,FALSE),"Add to Foods"))</f>
        <v>105</v>
      </c>
      <c r="F52" s="13">
        <f>IF($C52="","",IFERROR($D52*VLOOKUP($C52,Foods!$A:$E,4,FALSE),"Add to Foods"))</f>
        <v>1</v>
      </c>
      <c r="G52" s="13">
        <f>IF($C52="","",IFERROR($D52*VLOOKUP($C52,Foods!$A:$E,5,FALSE),"Add to Foods"))</f>
        <v>8</v>
      </c>
      <c r="H52" s="12"/>
      <c r="I52" s="12" t="str">
        <f>IF($C52="","",IF(COUNTIF(Foods!$A:$A,$C52)&gt;0,"Yes","No - add nickname"))</f>
        <v>Yes</v>
      </c>
    </row>
    <row r="53" ht="15.75" customHeight="1">
      <c r="A53" s="11">
        <v>46201.0</v>
      </c>
      <c r="B53" s="14" t="s">
        <v>22</v>
      </c>
      <c r="C53" s="14" t="s">
        <v>44</v>
      </c>
      <c r="D53" s="15">
        <v>1.0</v>
      </c>
      <c r="E53" s="13">
        <f>IF($C53="","",IFERROR($D53*VLOOKUP($C53,Foods!$A:$E,3,FALSE),"Add to Foods"))</f>
        <v>105</v>
      </c>
      <c r="F53" s="13">
        <f>IF($C53="","",IFERROR($D53*VLOOKUP($C53,Foods!$A:$E,4,FALSE),"Add to Foods"))</f>
        <v>1</v>
      </c>
      <c r="G53" s="13">
        <f>IF($C53="","",IFERROR($D53*VLOOKUP($C53,Foods!$A:$E,5,FALSE),"Add to Foods"))</f>
        <v>8</v>
      </c>
      <c r="H53" s="12"/>
      <c r="I53" s="12" t="str">
        <f>IF($C53="","",IF(COUNTIF(Foods!$A:$A,$C53)&gt;0,"Yes","No - add nickname"))</f>
        <v>Yes</v>
      </c>
    </row>
    <row r="54" ht="15.75" customHeight="1">
      <c r="A54" s="11">
        <v>46201.0</v>
      </c>
      <c r="B54" s="14" t="s">
        <v>22</v>
      </c>
      <c r="C54" s="14" t="s">
        <v>24</v>
      </c>
      <c r="D54" s="15">
        <v>1.0</v>
      </c>
      <c r="E54" s="13">
        <f>IF($C54="","",IFERROR($D54*VLOOKUP($C54,Foods!$A:$E,3,FALSE),"Add to Foods"))</f>
        <v>450</v>
      </c>
      <c r="F54" s="13">
        <f>IF($C54="","",IFERROR($D54*VLOOKUP($C54,Foods!$A:$E,4,FALSE),"Add to Foods"))</f>
        <v>35</v>
      </c>
      <c r="G54" s="13">
        <f>IF($C54="","",IFERROR($D54*VLOOKUP($C54,Foods!$A:$E,5,FALSE),"Add to Foods"))</f>
        <v>9</v>
      </c>
      <c r="H54" s="12"/>
      <c r="I54" s="12" t="str">
        <f>IF($C54="","",IF(COUNTIF(Foods!$A:$A,$C54)&gt;0,"Yes","No - add nickname"))</f>
        <v>Yes</v>
      </c>
    </row>
    <row r="55" ht="15.75" customHeight="1">
      <c r="A55" s="11">
        <v>46201.0</v>
      </c>
      <c r="B55" s="14" t="s">
        <v>25</v>
      </c>
      <c r="C55" s="14" t="s">
        <v>57</v>
      </c>
      <c r="D55" s="15">
        <v>1.0</v>
      </c>
      <c r="E55" s="13">
        <f>IF($C55="","",IFERROR($D55*VLOOKUP($C55,Foods!$A:$E,3,FALSE),"Add to Foods"))</f>
        <v>400</v>
      </c>
      <c r="F55" s="13">
        <f>IF($C55="","",IFERROR($D55*VLOOKUP($C55,Foods!$A:$E,4,FALSE),"Add to Foods"))</f>
        <v>20</v>
      </c>
      <c r="G55" s="13">
        <f>IF($C55="","",IFERROR($D55*VLOOKUP($C55,Foods!$A:$E,5,FALSE),"Add to Foods"))</f>
        <v>8.8</v>
      </c>
      <c r="H55" s="12"/>
      <c r="I55" s="12" t="str">
        <f>IF($C55="","",IF(COUNTIF(Foods!$A:$A,$C55)&gt;0,"Yes","No - add nickname"))</f>
        <v>Yes</v>
      </c>
    </row>
    <row r="56" ht="15.75" customHeight="1">
      <c r="A56" s="11">
        <v>46201.0</v>
      </c>
      <c r="B56" s="14" t="s">
        <v>25</v>
      </c>
      <c r="C56" s="14" t="s">
        <v>27</v>
      </c>
      <c r="D56" s="15">
        <v>1.0</v>
      </c>
      <c r="E56" s="13">
        <f>IF($C56="","",IFERROR($D56*VLOOKUP($C56,Foods!$A:$E,3,FALSE),"Add to Foods"))</f>
        <v>60</v>
      </c>
      <c r="F56" s="13">
        <f>IF($C56="","",IFERROR($D56*VLOOKUP($C56,Foods!$A:$E,4,FALSE),"Add to Foods"))</f>
        <v>1</v>
      </c>
      <c r="G56" s="13">
        <f>IF($C56="","",IFERROR($D56*VLOOKUP($C56,Foods!$A:$E,5,FALSE),"Add to Foods"))</f>
        <v>9</v>
      </c>
      <c r="H56" s="12"/>
      <c r="I56" s="12" t="str">
        <f>IF($C56="","",IF(COUNTIF(Foods!$A:$A,$C56)&gt;0,"Yes","No - add nickname"))</f>
        <v>Yes</v>
      </c>
    </row>
    <row r="57" ht="15.75" customHeight="1">
      <c r="A57" s="16"/>
      <c r="B57" s="12"/>
      <c r="C57" s="12"/>
      <c r="D57" s="13"/>
      <c r="E57" s="13" t="str">
        <f>IF($C57="","",IFERROR($D57*VLOOKUP($C57,Foods!$A:$E,3,FALSE),"Add to Foods"))</f>
        <v/>
      </c>
      <c r="F57" s="13" t="str">
        <f>IF($C57="","",IFERROR($D57*VLOOKUP($C57,Foods!$A:$E,4,FALSE),"Add to Foods"))</f>
        <v/>
      </c>
      <c r="G57" s="13" t="str">
        <f>IF($C57="","",IFERROR($D57*VLOOKUP($C57,Foods!$A:$E,5,FALSE),"Add to Foods"))</f>
        <v/>
      </c>
      <c r="H57" s="12"/>
      <c r="I57" s="12" t="str">
        <f>IF($C57="","",IF(COUNTIF(Foods!$A:$A,$C57)&gt;0,"Yes","No - add nickname"))</f>
        <v/>
      </c>
    </row>
    <row r="58" ht="15.75" customHeight="1">
      <c r="A58" s="16"/>
      <c r="B58" s="12"/>
      <c r="C58" s="12"/>
      <c r="D58" s="13"/>
      <c r="E58" s="13" t="str">
        <f>IF($C58="","",IFERROR($D58*VLOOKUP($C58,Foods!$A:$E,3,FALSE),"Add to Foods"))</f>
        <v/>
      </c>
      <c r="F58" s="13" t="str">
        <f>IF($C58="","",IFERROR($D58*VLOOKUP($C58,Foods!$A:$E,4,FALSE),"Add to Foods"))</f>
        <v/>
      </c>
      <c r="G58" s="13" t="str">
        <f>IF($C58="","",IFERROR($D58*VLOOKUP($C58,Foods!$A:$E,5,FALSE),"Add to Foods"))</f>
        <v/>
      </c>
      <c r="H58" s="12"/>
      <c r="I58" s="12" t="str">
        <f>IF($C58="","",IF(COUNTIF(Foods!$A:$A,$C58)&gt;0,"Yes","No - add nickname"))</f>
        <v/>
      </c>
    </row>
    <row r="59" ht="15.75" customHeight="1">
      <c r="A59" s="16"/>
      <c r="B59" s="12"/>
      <c r="C59" s="12"/>
      <c r="D59" s="13"/>
      <c r="E59" s="13" t="str">
        <f>IF($C59="","",IFERROR($D59*VLOOKUP($C59,Foods!$A:$E,3,FALSE),"Add to Foods"))</f>
        <v/>
      </c>
      <c r="F59" s="13" t="str">
        <f>IF($C59="","",IFERROR($D59*VLOOKUP($C59,Foods!$A:$E,4,FALSE),"Add to Foods"))</f>
        <v/>
      </c>
      <c r="G59" s="13" t="str">
        <f>IF($C59="","",IFERROR($D59*VLOOKUP($C59,Foods!$A:$E,5,FALSE),"Add to Foods"))</f>
        <v/>
      </c>
      <c r="H59" s="12"/>
      <c r="I59" s="12" t="str">
        <f>IF($C59="","",IF(COUNTIF(Foods!$A:$A,$C59)&gt;0,"Yes","No - add nickname"))</f>
        <v/>
      </c>
    </row>
    <row r="60" ht="15.75" customHeight="1">
      <c r="A60" s="16"/>
      <c r="B60" s="12"/>
      <c r="C60" s="12"/>
      <c r="D60" s="13"/>
      <c r="E60" s="13" t="str">
        <f>IF($C60="","",IFERROR($D60*VLOOKUP($C60,Foods!$A:$E,3,FALSE),"Add to Foods"))</f>
        <v/>
      </c>
      <c r="F60" s="13" t="str">
        <f>IF($C60="","",IFERROR($D60*VLOOKUP($C60,Foods!$A:$E,4,FALSE),"Add to Foods"))</f>
        <v/>
      </c>
      <c r="G60" s="13" t="str">
        <f>IF($C60="","",IFERROR($D60*VLOOKUP($C60,Foods!$A:$E,5,FALSE),"Add to Foods"))</f>
        <v/>
      </c>
      <c r="H60" s="12"/>
      <c r="I60" s="12" t="str">
        <f>IF($C60="","",IF(COUNTIF(Foods!$A:$A,$C60)&gt;0,"Yes","No - add nickname"))</f>
        <v/>
      </c>
    </row>
    <row r="61" ht="15.75" customHeight="1">
      <c r="A61" s="16"/>
      <c r="B61" s="12"/>
      <c r="C61" s="12"/>
      <c r="D61" s="13"/>
      <c r="E61" s="13" t="str">
        <f>IF($C61="","",IFERROR($D61*VLOOKUP($C61,Foods!$A:$E,3,FALSE),"Add to Foods"))</f>
        <v/>
      </c>
      <c r="F61" s="13" t="str">
        <f>IF($C61="","",IFERROR($D61*VLOOKUP($C61,Foods!$A:$E,4,FALSE),"Add to Foods"))</f>
        <v/>
      </c>
      <c r="G61" s="13" t="str">
        <f>IF($C61="","",IFERROR($D61*VLOOKUP($C61,Foods!$A:$E,5,FALSE),"Add to Foods"))</f>
        <v/>
      </c>
      <c r="H61" s="12"/>
      <c r="I61" s="12" t="str">
        <f>IF($C61="","",IF(COUNTIF(Foods!$A:$A,$C61)&gt;0,"Yes","No - add nickname"))</f>
        <v/>
      </c>
    </row>
    <row r="62" ht="15.75" customHeight="1">
      <c r="A62" s="16"/>
      <c r="B62" s="12"/>
      <c r="C62" s="12"/>
      <c r="D62" s="13"/>
      <c r="E62" s="13" t="str">
        <f>IF($C62="","",IFERROR($D62*VLOOKUP($C62,Foods!$A:$E,3,FALSE),"Add to Foods"))</f>
        <v/>
      </c>
      <c r="F62" s="13" t="str">
        <f>IF($C62="","",IFERROR($D62*VLOOKUP($C62,Foods!$A:$E,4,FALSE),"Add to Foods"))</f>
        <v/>
      </c>
      <c r="G62" s="13" t="str">
        <f>IF($C62="","",IFERROR($D62*VLOOKUP($C62,Foods!$A:$E,5,FALSE),"Add to Foods"))</f>
        <v/>
      </c>
      <c r="H62" s="12"/>
      <c r="I62" s="12" t="str">
        <f>IF($C62="","",IF(COUNTIF(Foods!$A:$A,$C62)&gt;0,"Yes","No - add nickname"))</f>
        <v/>
      </c>
    </row>
    <row r="63" ht="15.75" customHeight="1">
      <c r="A63" s="16"/>
      <c r="B63" s="12"/>
      <c r="C63" s="12"/>
      <c r="D63" s="13"/>
      <c r="E63" s="13" t="str">
        <f>IF($C63="","",IFERROR($D63*VLOOKUP($C63,Foods!$A:$E,3,FALSE),"Add to Foods"))</f>
        <v/>
      </c>
      <c r="F63" s="13" t="str">
        <f>IF($C63="","",IFERROR($D63*VLOOKUP($C63,Foods!$A:$E,4,FALSE),"Add to Foods"))</f>
        <v/>
      </c>
      <c r="G63" s="13" t="str">
        <f>IF($C63="","",IFERROR($D63*VLOOKUP($C63,Foods!$A:$E,5,FALSE),"Add to Foods"))</f>
        <v/>
      </c>
      <c r="H63" s="12"/>
      <c r="I63" s="12" t="str">
        <f>IF($C63="","",IF(COUNTIF(Foods!$A:$A,$C63)&gt;0,"Yes","No - add nickname"))</f>
        <v/>
      </c>
    </row>
    <row r="64" ht="15.75" customHeight="1">
      <c r="A64" s="16"/>
      <c r="B64" s="12"/>
      <c r="C64" s="12"/>
      <c r="D64" s="13"/>
      <c r="E64" s="13" t="str">
        <f>IF($C64="","",IFERROR($D64*VLOOKUP($C64,Foods!$A:$E,3,FALSE),"Add to Foods"))</f>
        <v/>
      </c>
      <c r="F64" s="13" t="str">
        <f>IF($C64="","",IFERROR($D64*VLOOKUP($C64,Foods!$A:$E,4,FALSE),"Add to Foods"))</f>
        <v/>
      </c>
      <c r="G64" s="13" t="str">
        <f>IF($C64="","",IFERROR($D64*VLOOKUP($C64,Foods!$A:$E,5,FALSE),"Add to Foods"))</f>
        <v/>
      </c>
      <c r="H64" s="12"/>
      <c r="I64" s="12" t="str">
        <f>IF($C64="","",IF(COUNTIF(Foods!$A:$A,$C64)&gt;0,"Yes","No - add nickname"))</f>
        <v/>
      </c>
    </row>
    <row r="65" ht="15.75" customHeight="1">
      <c r="A65" s="16"/>
      <c r="B65" s="12"/>
      <c r="C65" s="12"/>
      <c r="D65" s="13"/>
      <c r="E65" s="13" t="str">
        <f>IF($C65="","",IFERROR($D65*VLOOKUP($C65,Foods!$A:$E,3,FALSE),"Add to Foods"))</f>
        <v/>
      </c>
      <c r="F65" s="13" t="str">
        <f>IF($C65="","",IFERROR($D65*VLOOKUP($C65,Foods!$A:$E,4,FALSE),"Add to Foods"))</f>
        <v/>
      </c>
      <c r="G65" s="13" t="str">
        <f>IF($C65="","",IFERROR($D65*VLOOKUP($C65,Foods!$A:$E,5,FALSE),"Add to Foods"))</f>
        <v/>
      </c>
      <c r="H65" s="12"/>
      <c r="I65" s="12" t="str">
        <f>IF($C65="","",IF(COUNTIF(Foods!$A:$A,$C65)&gt;0,"Yes","No - add nickname"))</f>
        <v/>
      </c>
    </row>
    <row r="66" ht="15.75" customHeight="1">
      <c r="A66" s="16"/>
      <c r="B66" s="12"/>
      <c r="C66" s="12"/>
      <c r="D66" s="13"/>
      <c r="E66" s="13" t="str">
        <f>IF($C66="","",IFERROR($D66*VLOOKUP($C66,Foods!$A:$E,3,FALSE),"Add to Foods"))</f>
        <v/>
      </c>
      <c r="F66" s="13" t="str">
        <f>IF($C66="","",IFERROR($D66*VLOOKUP($C66,Foods!$A:$E,4,FALSE),"Add to Foods"))</f>
        <v/>
      </c>
      <c r="G66" s="13" t="str">
        <f>IF($C66="","",IFERROR($D66*VLOOKUP($C66,Foods!$A:$E,5,FALSE),"Add to Foods"))</f>
        <v/>
      </c>
      <c r="H66" s="12"/>
      <c r="I66" s="12" t="str">
        <f>IF($C66="","",IF(COUNTIF(Foods!$A:$A,$C66)&gt;0,"Yes","No - add nickname"))</f>
        <v/>
      </c>
    </row>
    <row r="67" ht="15.75" customHeight="1">
      <c r="A67" s="16"/>
      <c r="B67" s="12"/>
      <c r="C67" s="12"/>
      <c r="D67" s="13"/>
      <c r="E67" s="13" t="str">
        <f>IF($C67="","",IFERROR($D67*VLOOKUP($C67,Foods!$A:$E,3,FALSE),"Add to Foods"))</f>
        <v/>
      </c>
      <c r="F67" s="13" t="str">
        <f>IF($C67="","",IFERROR($D67*VLOOKUP($C67,Foods!$A:$E,4,FALSE),"Add to Foods"))</f>
        <v/>
      </c>
      <c r="G67" s="13" t="str">
        <f>IF($C67="","",IFERROR($D67*VLOOKUP($C67,Foods!$A:$E,5,FALSE),"Add to Foods"))</f>
        <v/>
      </c>
      <c r="H67" s="12"/>
      <c r="I67" s="12" t="str">
        <f>IF($C67="","",IF(COUNTIF(Foods!$A:$A,$C67)&gt;0,"Yes","No - add nickname"))</f>
        <v/>
      </c>
    </row>
    <row r="68" ht="15.75" customHeight="1">
      <c r="A68" s="16"/>
      <c r="B68" s="12"/>
      <c r="C68" s="12"/>
      <c r="D68" s="13"/>
      <c r="E68" s="13" t="str">
        <f>IF($C68="","",IFERROR($D68*VLOOKUP($C68,Foods!$A:$E,3,FALSE),"Add to Foods"))</f>
        <v/>
      </c>
      <c r="F68" s="13" t="str">
        <f>IF($C68="","",IFERROR($D68*VLOOKUP($C68,Foods!$A:$E,4,FALSE),"Add to Foods"))</f>
        <v/>
      </c>
      <c r="G68" s="13" t="str">
        <f>IF($C68="","",IFERROR($D68*VLOOKUP($C68,Foods!$A:$E,5,FALSE),"Add to Foods"))</f>
        <v/>
      </c>
      <c r="H68" s="12"/>
      <c r="I68" s="12" t="str">
        <f>IF($C68="","",IF(COUNTIF(Foods!$A:$A,$C68)&gt;0,"Yes","No - add nickname"))</f>
        <v/>
      </c>
    </row>
    <row r="69" ht="15.75" customHeight="1">
      <c r="A69" s="16"/>
      <c r="B69" s="12"/>
      <c r="C69" s="12"/>
      <c r="D69" s="13"/>
      <c r="E69" s="13" t="str">
        <f>IF($C69="","",IFERROR($D69*VLOOKUP($C69,Foods!$A:$E,3,FALSE),"Add to Foods"))</f>
        <v/>
      </c>
      <c r="F69" s="13" t="str">
        <f>IF($C69="","",IFERROR($D69*VLOOKUP($C69,Foods!$A:$E,4,FALSE),"Add to Foods"))</f>
        <v/>
      </c>
      <c r="G69" s="13" t="str">
        <f>IF($C69="","",IFERROR($D69*VLOOKUP($C69,Foods!$A:$E,5,FALSE),"Add to Foods"))</f>
        <v/>
      </c>
      <c r="H69" s="12"/>
      <c r="I69" s="12" t="str">
        <f>IF($C69="","",IF(COUNTIF(Foods!$A:$A,$C69)&gt;0,"Yes","No - add nickname"))</f>
        <v/>
      </c>
    </row>
    <row r="70" ht="15.75" customHeight="1">
      <c r="A70" s="16"/>
      <c r="B70" s="12"/>
      <c r="C70" s="12"/>
      <c r="D70" s="13"/>
      <c r="E70" s="13" t="str">
        <f>IF($C70="","",IFERROR($D70*VLOOKUP($C70,Foods!$A:$E,3,FALSE),"Add to Foods"))</f>
        <v/>
      </c>
      <c r="F70" s="13" t="str">
        <f>IF($C70="","",IFERROR($D70*VLOOKUP($C70,Foods!$A:$E,4,FALSE),"Add to Foods"))</f>
        <v/>
      </c>
      <c r="G70" s="13" t="str">
        <f>IF($C70="","",IFERROR($D70*VLOOKUP($C70,Foods!$A:$E,5,FALSE),"Add to Foods"))</f>
        <v/>
      </c>
      <c r="H70" s="12"/>
      <c r="I70" s="12" t="str">
        <f>IF($C70="","",IF(COUNTIF(Foods!$A:$A,$C70)&gt;0,"Yes","No - add nickname"))</f>
        <v/>
      </c>
    </row>
    <row r="71" ht="15.75" customHeight="1">
      <c r="A71" s="16"/>
      <c r="B71" s="12"/>
      <c r="C71" s="12"/>
      <c r="D71" s="13"/>
      <c r="E71" s="13" t="str">
        <f>IF($C71="","",IFERROR($D71*VLOOKUP($C71,Foods!$A:$E,3,FALSE),"Add to Foods"))</f>
        <v/>
      </c>
      <c r="F71" s="13" t="str">
        <f>IF($C71="","",IFERROR($D71*VLOOKUP($C71,Foods!$A:$E,4,FALSE),"Add to Foods"))</f>
        <v/>
      </c>
      <c r="G71" s="13" t="str">
        <f>IF($C71="","",IFERROR($D71*VLOOKUP($C71,Foods!$A:$E,5,FALSE),"Add to Foods"))</f>
        <v/>
      </c>
      <c r="H71" s="12"/>
      <c r="I71" s="12" t="str">
        <f>IF($C71="","",IF(COUNTIF(Foods!$A:$A,$C71)&gt;0,"Yes","No - add nickname"))</f>
        <v/>
      </c>
    </row>
    <row r="72" ht="15.75" customHeight="1">
      <c r="A72" s="16"/>
      <c r="B72" s="12"/>
      <c r="C72" s="12"/>
      <c r="D72" s="13"/>
      <c r="E72" s="13" t="str">
        <f>IF($C72="","",IFERROR($D72*VLOOKUP($C72,Foods!$A:$E,3,FALSE),"Add to Foods"))</f>
        <v/>
      </c>
      <c r="F72" s="13" t="str">
        <f>IF($C72="","",IFERROR($D72*VLOOKUP($C72,Foods!$A:$E,4,FALSE),"Add to Foods"))</f>
        <v/>
      </c>
      <c r="G72" s="13" t="str">
        <f>IF($C72="","",IFERROR($D72*VLOOKUP($C72,Foods!$A:$E,5,FALSE),"Add to Foods"))</f>
        <v/>
      </c>
      <c r="H72" s="12"/>
      <c r="I72" s="12" t="str">
        <f>IF($C72="","",IF(COUNTIF(Foods!$A:$A,$C72)&gt;0,"Yes","No - add nickname"))</f>
        <v/>
      </c>
    </row>
    <row r="73" ht="15.75" customHeight="1">
      <c r="A73" s="16"/>
      <c r="B73" s="12"/>
      <c r="C73" s="12"/>
      <c r="D73" s="13"/>
      <c r="E73" s="13" t="str">
        <f>IF($C73="","",IFERROR($D73*VLOOKUP($C73,Foods!$A:$E,3,FALSE),"Add to Foods"))</f>
        <v/>
      </c>
      <c r="F73" s="13" t="str">
        <f>IF($C73="","",IFERROR($D73*VLOOKUP($C73,Foods!$A:$E,4,FALSE),"Add to Foods"))</f>
        <v/>
      </c>
      <c r="G73" s="13" t="str">
        <f>IF($C73="","",IFERROR($D73*VLOOKUP($C73,Foods!$A:$E,5,FALSE),"Add to Foods"))</f>
        <v/>
      </c>
      <c r="H73" s="12"/>
      <c r="I73" s="12" t="str">
        <f>IF($C73="","",IF(COUNTIF(Foods!$A:$A,$C73)&gt;0,"Yes","No - add nickname"))</f>
        <v/>
      </c>
    </row>
    <row r="74" ht="15.75" customHeight="1">
      <c r="A74" s="16"/>
      <c r="B74" s="12"/>
      <c r="C74" s="12"/>
      <c r="D74" s="13"/>
      <c r="E74" s="13" t="str">
        <f>IF($C74="","",IFERROR($D74*VLOOKUP($C74,Foods!$A:$E,3,FALSE),"Add to Foods"))</f>
        <v/>
      </c>
      <c r="F74" s="13" t="str">
        <f>IF($C74="","",IFERROR($D74*VLOOKUP($C74,Foods!$A:$E,4,FALSE),"Add to Foods"))</f>
        <v/>
      </c>
      <c r="G74" s="13" t="str">
        <f>IF($C74="","",IFERROR($D74*VLOOKUP($C74,Foods!$A:$E,5,FALSE),"Add to Foods"))</f>
        <v/>
      </c>
      <c r="H74" s="12"/>
      <c r="I74" s="12" t="str">
        <f>IF($C74="","",IF(COUNTIF(Foods!$A:$A,$C74)&gt;0,"Yes","No - add nickname"))</f>
        <v/>
      </c>
    </row>
    <row r="75" ht="15.75" customHeight="1">
      <c r="A75" s="16"/>
      <c r="B75" s="12"/>
      <c r="C75" s="12"/>
      <c r="D75" s="13"/>
      <c r="E75" s="13" t="str">
        <f>IF($C75="","",IFERROR($D75*VLOOKUP($C75,Foods!$A:$E,3,FALSE),"Add to Foods"))</f>
        <v/>
      </c>
      <c r="F75" s="13" t="str">
        <f>IF($C75="","",IFERROR($D75*VLOOKUP($C75,Foods!$A:$E,4,FALSE),"Add to Foods"))</f>
        <v/>
      </c>
      <c r="G75" s="13" t="str">
        <f>IF($C75="","",IFERROR($D75*VLOOKUP($C75,Foods!$A:$E,5,FALSE),"Add to Foods"))</f>
        <v/>
      </c>
      <c r="H75" s="12"/>
      <c r="I75" s="12" t="str">
        <f>IF($C75="","",IF(COUNTIF(Foods!$A:$A,$C75)&gt;0,"Yes","No - add nickname"))</f>
        <v/>
      </c>
    </row>
    <row r="76" ht="15.75" customHeight="1">
      <c r="A76" s="16"/>
      <c r="B76" s="12"/>
      <c r="C76" s="12"/>
      <c r="D76" s="13"/>
      <c r="E76" s="13" t="str">
        <f>IF($C76="","",IFERROR($D76*VLOOKUP($C76,Foods!$A:$E,3,FALSE),"Add to Foods"))</f>
        <v/>
      </c>
      <c r="F76" s="13" t="str">
        <f>IF($C76="","",IFERROR($D76*VLOOKUP($C76,Foods!$A:$E,4,FALSE),"Add to Foods"))</f>
        <v/>
      </c>
      <c r="G76" s="13" t="str">
        <f>IF($C76="","",IFERROR($D76*VLOOKUP($C76,Foods!$A:$E,5,FALSE),"Add to Foods"))</f>
        <v/>
      </c>
      <c r="H76" s="12"/>
      <c r="I76" s="12" t="str">
        <f>IF($C76="","",IF(COUNTIF(Foods!$A:$A,$C76)&gt;0,"Yes","No - add nickname"))</f>
        <v/>
      </c>
    </row>
    <row r="77" ht="15.75" customHeight="1">
      <c r="A77" s="16"/>
      <c r="B77" s="12"/>
      <c r="C77" s="12"/>
      <c r="D77" s="13"/>
      <c r="E77" s="13" t="str">
        <f>IF($C77="","",IFERROR($D77*VLOOKUP($C77,Foods!$A:$E,3,FALSE),"Add to Foods"))</f>
        <v/>
      </c>
      <c r="F77" s="13" t="str">
        <f>IF($C77="","",IFERROR($D77*VLOOKUP($C77,Foods!$A:$E,4,FALSE),"Add to Foods"))</f>
        <v/>
      </c>
      <c r="G77" s="13" t="str">
        <f>IF($C77="","",IFERROR($D77*VLOOKUP($C77,Foods!$A:$E,5,FALSE),"Add to Foods"))</f>
        <v/>
      </c>
      <c r="H77" s="12"/>
      <c r="I77" s="12" t="str">
        <f>IF($C77="","",IF(COUNTIF(Foods!$A:$A,$C77)&gt;0,"Yes","No - add nickname"))</f>
        <v/>
      </c>
    </row>
    <row r="78" ht="15.75" customHeight="1">
      <c r="A78" s="16"/>
      <c r="B78" s="12"/>
      <c r="C78" s="12"/>
      <c r="D78" s="13"/>
      <c r="E78" s="13" t="str">
        <f>IF($C78="","",IFERROR($D78*VLOOKUP($C78,Foods!$A:$E,3,FALSE),"Add to Foods"))</f>
        <v/>
      </c>
      <c r="F78" s="13" t="str">
        <f>IF($C78="","",IFERROR($D78*VLOOKUP($C78,Foods!$A:$E,4,FALSE),"Add to Foods"))</f>
        <v/>
      </c>
      <c r="G78" s="13" t="str">
        <f>IF($C78="","",IFERROR($D78*VLOOKUP($C78,Foods!$A:$E,5,FALSE),"Add to Foods"))</f>
        <v/>
      </c>
      <c r="H78" s="12"/>
      <c r="I78" s="12" t="str">
        <f>IF($C78="","",IF(COUNTIF(Foods!$A:$A,$C78)&gt;0,"Yes","No - add nickname"))</f>
        <v/>
      </c>
    </row>
    <row r="79" ht="15.75" customHeight="1">
      <c r="A79" s="16"/>
      <c r="B79" s="12"/>
      <c r="C79" s="12"/>
      <c r="D79" s="13"/>
      <c r="E79" s="13" t="str">
        <f>IF($C79="","",IFERROR($D79*VLOOKUP($C79,Foods!$A:$E,3,FALSE),"Add to Foods"))</f>
        <v/>
      </c>
      <c r="F79" s="13" t="str">
        <f>IF($C79="","",IFERROR($D79*VLOOKUP($C79,Foods!$A:$E,4,FALSE),"Add to Foods"))</f>
        <v/>
      </c>
      <c r="G79" s="13" t="str">
        <f>IF($C79="","",IFERROR($D79*VLOOKUP($C79,Foods!$A:$E,5,FALSE),"Add to Foods"))</f>
        <v/>
      </c>
      <c r="H79" s="12"/>
      <c r="I79" s="12" t="str">
        <f>IF($C79="","",IF(COUNTIF(Foods!$A:$A,$C79)&gt;0,"Yes","No - add nickname"))</f>
        <v/>
      </c>
    </row>
    <row r="80" ht="15.75" customHeight="1">
      <c r="A80" s="16"/>
      <c r="B80" s="12"/>
      <c r="C80" s="12"/>
      <c r="D80" s="13"/>
      <c r="E80" s="13" t="str">
        <f>IF($C80="","",IFERROR($D80*VLOOKUP($C80,Foods!$A:$E,3,FALSE),"Add to Foods"))</f>
        <v/>
      </c>
      <c r="F80" s="13" t="str">
        <f>IF($C80="","",IFERROR($D80*VLOOKUP($C80,Foods!$A:$E,4,FALSE),"Add to Foods"))</f>
        <v/>
      </c>
      <c r="G80" s="13" t="str">
        <f>IF($C80="","",IFERROR($D80*VLOOKUP($C80,Foods!$A:$E,5,FALSE),"Add to Foods"))</f>
        <v/>
      </c>
      <c r="H80" s="12"/>
      <c r="I80" s="12" t="str">
        <f>IF($C80="","",IF(COUNTIF(Foods!$A:$A,$C80)&gt;0,"Yes","No - add nickname"))</f>
        <v/>
      </c>
    </row>
    <row r="81" ht="15.75" customHeight="1">
      <c r="A81" s="16"/>
      <c r="B81" s="12"/>
      <c r="C81" s="12"/>
      <c r="D81" s="13"/>
      <c r="E81" s="13" t="str">
        <f>IF($C81="","",IFERROR($D81*VLOOKUP($C81,Foods!$A:$E,3,FALSE),"Add to Foods"))</f>
        <v/>
      </c>
      <c r="F81" s="13" t="str">
        <f>IF($C81="","",IFERROR($D81*VLOOKUP($C81,Foods!$A:$E,4,FALSE),"Add to Foods"))</f>
        <v/>
      </c>
      <c r="G81" s="13" t="str">
        <f>IF($C81="","",IFERROR($D81*VLOOKUP($C81,Foods!$A:$E,5,FALSE),"Add to Foods"))</f>
        <v/>
      </c>
      <c r="H81" s="12"/>
      <c r="I81" s="12" t="str">
        <f>IF($C81="","",IF(COUNTIF(Foods!$A:$A,$C81)&gt;0,"Yes","No - add nickname"))</f>
        <v/>
      </c>
    </row>
    <row r="82" ht="15.75" customHeight="1">
      <c r="A82" s="16"/>
      <c r="B82" s="12"/>
      <c r="C82" s="12"/>
      <c r="D82" s="13"/>
      <c r="E82" s="13" t="str">
        <f>IF($C82="","",IFERROR($D82*VLOOKUP($C82,Foods!$A:$E,3,FALSE),"Add to Foods"))</f>
        <v/>
      </c>
      <c r="F82" s="13" t="str">
        <f>IF($C82="","",IFERROR($D82*VLOOKUP($C82,Foods!$A:$E,4,FALSE),"Add to Foods"))</f>
        <v/>
      </c>
      <c r="G82" s="13" t="str">
        <f>IF($C82="","",IFERROR($D82*VLOOKUP($C82,Foods!$A:$E,5,FALSE),"Add to Foods"))</f>
        <v/>
      </c>
      <c r="H82" s="12"/>
      <c r="I82" s="12" t="str">
        <f>IF($C82="","",IF(COUNTIF(Foods!$A:$A,$C82)&gt;0,"Yes","No - add nickname"))</f>
        <v/>
      </c>
    </row>
    <row r="83" ht="15.75" customHeight="1">
      <c r="A83" s="16"/>
      <c r="B83" s="12"/>
      <c r="C83" s="12"/>
      <c r="D83" s="13"/>
      <c r="E83" s="13" t="str">
        <f>IF($C83="","",IFERROR($D83*VLOOKUP($C83,Foods!$A:$E,3,FALSE),"Add to Foods"))</f>
        <v/>
      </c>
      <c r="F83" s="13" t="str">
        <f>IF($C83="","",IFERROR($D83*VLOOKUP($C83,Foods!$A:$E,4,FALSE),"Add to Foods"))</f>
        <v/>
      </c>
      <c r="G83" s="13" t="str">
        <f>IF($C83="","",IFERROR($D83*VLOOKUP($C83,Foods!$A:$E,5,FALSE),"Add to Foods"))</f>
        <v/>
      </c>
      <c r="H83" s="12"/>
      <c r="I83" s="12" t="str">
        <f>IF($C83="","",IF(COUNTIF(Foods!$A:$A,$C83)&gt;0,"Yes","No - add nickname"))</f>
        <v/>
      </c>
    </row>
    <row r="84" ht="15.75" customHeight="1">
      <c r="A84" s="16"/>
      <c r="B84" s="12"/>
      <c r="C84" s="12"/>
      <c r="D84" s="13"/>
      <c r="E84" s="13" t="str">
        <f>IF($C84="","",IFERROR($D84*VLOOKUP($C84,Foods!$A:$E,3,FALSE),"Add to Foods"))</f>
        <v/>
      </c>
      <c r="F84" s="13" t="str">
        <f>IF($C84="","",IFERROR($D84*VLOOKUP($C84,Foods!$A:$E,4,FALSE),"Add to Foods"))</f>
        <v/>
      </c>
      <c r="G84" s="13" t="str">
        <f>IF($C84="","",IFERROR($D84*VLOOKUP($C84,Foods!$A:$E,5,FALSE),"Add to Foods"))</f>
        <v/>
      </c>
      <c r="H84" s="12"/>
      <c r="I84" s="12" t="str">
        <f>IF($C84="","",IF(COUNTIF(Foods!$A:$A,$C84)&gt;0,"Yes","No - add nickname"))</f>
        <v/>
      </c>
    </row>
    <row r="85" ht="15.75" customHeight="1">
      <c r="A85" s="16"/>
      <c r="B85" s="12"/>
      <c r="C85" s="12"/>
      <c r="D85" s="13"/>
      <c r="E85" s="13" t="str">
        <f>IF($C85="","",IFERROR($D85*VLOOKUP($C85,Foods!$A:$E,3,FALSE),"Add to Foods"))</f>
        <v/>
      </c>
      <c r="F85" s="13" t="str">
        <f>IF($C85="","",IFERROR($D85*VLOOKUP($C85,Foods!$A:$E,4,FALSE),"Add to Foods"))</f>
        <v/>
      </c>
      <c r="G85" s="13" t="str">
        <f>IF($C85="","",IFERROR($D85*VLOOKUP($C85,Foods!$A:$E,5,FALSE),"Add to Foods"))</f>
        <v/>
      </c>
      <c r="H85" s="12"/>
      <c r="I85" s="12" t="str">
        <f>IF($C85="","",IF(COUNTIF(Foods!$A:$A,$C85)&gt;0,"Yes","No - add nickname"))</f>
        <v/>
      </c>
    </row>
    <row r="86" ht="15.75" customHeight="1">
      <c r="A86" s="16"/>
      <c r="B86" s="12"/>
      <c r="C86" s="12"/>
      <c r="D86" s="13"/>
      <c r="E86" s="13" t="str">
        <f>IF($C86="","",IFERROR($D86*VLOOKUP($C86,Foods!$A:$E,3,FALSE),"Add to Foods"))</f>
        <v/>
      </c>
      <c r="F86" s="13" t="str">
        <f>IF($C86="","",IFERROR($D86*VLOOKUP($C86,Foods!$A:$E,4,FALSE),"Add to Foods"))</f>
        <v/>
      </c>
      <c r="G86" s="13" t="str">
        <f>IF($C86="","",IFERROR($D86*VLOOKUP($C86,Foods!$A:$E,5,FALSE),"Add to Foods"))</f>
        <v/>
      </c>
      <c r="H86" s="12"/>
      <c r="I86" s="12" t="str">
        <f>IF($C86="","",IF(COUNTIF(Foods!$A:$A,$C86)&gt;0,"Yes","No - add nickname"))</f>
        <v/>
      </c>
    </row>
    <row r="87" ht="15.75" customHeight="1">
      <c r="A87" s="16"/>
      <c r="B87" s="12"/>
      <c r="C87" s="12"/>
      <c r="D87" s="13"/>
      <c r="E87" s="13" t="str">
        <f>IF($C87="","",IFERROR($D87*VLOOKUP($C87,Foods!$A:$E,3,FALSE),"Add to Foods"))</f>
        <v/>
      </c>
      <c r="F87" s="13" t="str">
        <f>IF($C87="","",IFERROR($D87*VLOOKUP($C87,Foods!$A:$E,4,FALSE),"Add to Foods"))</f>
        <v/>
      </c>
      <c r="G87" s="13" t="str">
        <f>IF($C87="","",IFERROR($D87*VLOOKUP($C87,Foods!$A:$E,5,FALSE),"Add to Foods"))</f>
        <v/>
      </c>
      <c r="H87" s="12"/>
      <c r="I87" s="12" t="str">
        <f>IF($C87="","",IF(COUNTIF(Foods!$A:$A,$C87)&gt;0,"Yes","No - add nickname"))</f>
        <v/>
      </c>
    </row>
    <row r="88" ht="15.75" customHeight="1">
      <c r="A88" s="16"/>
      <c r="B88" s="12"/>
      <c r="C88" s="12"/>
      <c r="D88" s="13"/>
      <c r="E88" s="13" t="str">
        <f>IF($C88="","",IFERROR($D88*VLOOKUP($C88,Foods!$A:$E,3,FALSE),"Add to Foods"))</f>
        <v/>
      </c>
      <c r="F88" s="13" t="str">
        <f>IF($C88="","",IFERROR($D88*VLOOKUP($C88,Foods!$A:$E,4,FALSE),"Add to Foods"))</f>
        <v/>
      </c>
      <c r="G88" s="13" t="str">
        <f>IF($C88="","",IFERROR($D88*VLOOKUP($C88,Foods!$A:$E,5,FALSE),"Add to Foods"))</f>
        <v/>
      </c>
      <c r="H88" s="12"/>
      <c r="I88" s="12" t="str">
        <f>IF($C88="","",IF(COUNTIF(Foods!$A:$A,$C88)&gt;0,"Yes","No - add nickname"))</f>
        <v/>
      </c>
    </row>
    <row r="89" ht="15.75" customHeight="1">
      <c r="A89" s="16"/>
      <c r="B89" s="12"/>
      <c r="C89" s="12"/>
      <c r="D89" s="13"/>
      <c r="E89" s="13" t="str">
        <f>IF($C89="","",IFERROR($D89*VLOOKUP($C89,Foods!$A:$E,3,FALSE),"Add to Foods"))</f>
        <v/>
      </c>
      <c r="F89" s="13" t="str">
        <f>IF($C89="","",IFERROR($D89*VLOOKUP($C89,Foods!$A:$E,4,FALSE),"Add to Foods"))</f>
        <v/>
      </c>
      <c r="G89" s="13" t="str">
        <f>IF($C89="","",IFERROR($D89*VLOOKUP($C89,Foods!$A:$E,5,FALSE),"Add to Foods"))</f>
        <v/>
      </c>
      <c r="H89" s="12"/>
      <c r="I89" s="12" t="str">
        <f>IF($C89="","",IF(COUNTIF(Foods!$A:$A,$C89)&gt;0,"Yes","No - add nickname"))</f>
        <v/>
      </c>
    </row>
    <row r="90" ht="15.75" customHeight="1">
      <c r="A90" s="16"/>
      <c r="B90" s="12"/>
      <c r="C90" s="12"/>
      <c r="D90" s="13"/>
      <c r="E90" s="13" t="str">
        <f>IF($C90="","",IFERROR($D90*VLOOKUP($C90,Foods!$A:$E,3,FALSE),"Add to Foods"))</f>
        <v/>
      </c>
      <c r="F90" s="13" t="str">
        <f>IF($C90="","",IFERROR($D90*VLOOKUP($C90,Foods!$A:$E,4,FALSE),"Add to Foods"))</f>
        <v/>
      </c>
      <c r="G90" s="13" t="str">
        <f>IF($C90="","",IFERROR($D90*VLOOKUP($C90,Foods!$A:$E,5,FALSE),"Add to Foods"))</f>
        <v/>
      </c>
      <c r="H90" s="12"/>
      <c r="I90" s="12" t="str">
        <f>IF($C90="","",IF(COUNTIF(Foods!$A:$A,$C90)&gt;0,"Yes","No - add nickname"))</f>
        <v/>
      </c>
    </row>
    <row r="91" ht="15.75" customHeight="1">
      <c r="A91" s="16"/>
      <c r="B91" s="12"/>
      <c r="C91" s="12"/>
      <c r="D91" s="13"/>
      <c r="E91" s="13" t="str">
        <f>IF($C91="","",IFERROR($D91*VLOOKUP($C91,Foods!$A:$E,3,FALSE),"Add to Foods"))</f>
        <v/>
      </c>
      <c r="F91" s="13" t="str">
        <f>IF($C91="","",IFERROR($D91*VLOOKUP($C91,Foods!$A:$E,4,FALSE),"Add to Foods"))</f>
        <v/>
      </c>
      <c r="G91" s="13" t="str">
        <f>IF($C91="","",IFERROR($D91*VLOOKUP($C91,Foods!$A:$E,5,FALSE),"Add to Foods"))</f>
        <v/>
      </c>
      <c r="H91" s="12"/>
      <c r="I91" s="12" t="str">
        <f>IF($C91="","",IF(COUNTIF(Foods!$A:$A,$C91)&gt;0,"Yes","No - add nickname"))</f>
        <v/>
      </c>
    </row>
    <row r="92" ht="15.75" customHeight="1">
      <c r="A92" s="16"/>
      <c r="B92" s="12"/>
      <c r="C92" s="12"/>
      <c r="D92" s="13"/>
      <c r="E92" s="13" t="str">
        <f>IF($C92="","",IFERROR($D92*VLOOKUP($C92,Foods!$A:$E,3,FALSE),"Add to Foods"))</f>
        <v/>
      </c>
      <c r="F92" s="13" t="str">
        <f>IF($C92="","",IFERROR($D92*VLOOKUP($C92,Foods!$A:$E,4,FALSE),"Add to Foods"))</f>
        <v/>
      </c>
      <c r="G92" s="13" t="str">
        <f>IF($C92="","",IFERROR($D92*VLOOKUP($C92,Foods!$A:$E,5,FALSE),"Add to Foods"))</f>
        <v/>
      </c>
      <c r="H92" s="12"/>
      <c r="I92" s="12" t="str">
        <f>IF($C92="","",IF(COUNTIF(Foods!$A:$A,$C92)&gt;0,"Yes","No - add nickname"))</f>
        <v/>
      </c>
    </row>
    <row r="93" ht="15.75" customHeight="1">
      <c r="A93" s="16"/>
      <c r="B93" s="12"/>
      <c r="C93" s="12"/>
      <c r="D93" s="13"/>
      <c r="E93" s="13" t="str">
        <f>IF($C93="","",IFERROR($D93*VLOOKUP($C93,Foods!$A:$E,3,FALSE),"Add to Foods"))</f>
        <v/>
      </c>
      <c r="F93" s="13" t="str">
        <f>IF($C93="","",IFERROR($D93*VLOOKUP($C93,Foods!$A:$E,4,FALSE),"Add to Foods"))</f>
        <v/>
      </c>
      <c r="G93" s="13" t="str">
        <f>IF($C93="","",IFERROR($D93*VLOOKUP($C93,Foods!$A:$E,5,FALSE),"Add to Foods"))</f>
        <v/>
      </c>
      <c r="H93" s="12"/>
      <c r="I93" s="12" t="str">
        <f>IF($C93="","",IF(COUNTIF(Foods!$A:$A,$C93)&gt;0,"Yes","No - add nickname"))</f>
        <v/>
      </c>
    </row>
    <row r="94" ht="15.75" customHeight="1">
      <c r="A94" s="16"/>
      <c r="B94" s="12"/>
      <c r="C94" s="12"/>
      <c r="D94" s="13"/>
      <c r="E94" s="13" t="str">
        <f>IF($C94="","",IFERROR($D94*VLOOKUP($C94,Foods!$A:$E,3,FALSE),"Add to Foods"))</f>
        <v/>
      </c>
      <c r="F94" s="13" t="str">
        <f>IF($C94="","",IFERROR($D94*VLOOKUP($C94,Foods!$A:$E,4,FALSE),"Add to Foods"))</f>
        <v/>
      </c>
      <c r="G94" s="13" t="str">
        <f>IF($C94="","",IFERROR($D94*VLOOKUP($C94,Foods!$A:$E,5,FALSE),"Add to Foods"))</f>
        <v/>
      </c>
      <c r="H94" s="12"/>
      <c r="I94" s="12" t="str">
        <f>IF($C94="","",IF(COUNTIF(Foods!$A:$A,$C94)&gt;0,"Yes","No - add nickname"))</f>
        <v/>
      </c>
    </row>
    <row r="95" ht="15.75" customHeight="1">
      <c r="A95" s="16"/>
      <c r="B95" s="12"/>
      <c r="C95" s="12"/>
      <c r="D95" s="13"/>
      <c r="E95" s="13" t="str">
        <f>IF($C95="","",IFERROR($D95*VLOOKUP($C95,Foods!$A:$E,3,FALSE),"Add to Foods"))</f>
        <v/>
      </c>
      <c r="F95" s="13" t="str">
        <f>IF($C95="","",IFERROR($D95*VLOOKUP($C95,Foods!$A:$E,4,FALSE),"Add to Foods"))</f>
        <v/>
      </c>
      <c r="G95" s="13" t="str">
        <f>IF($C95="","",IFERROR($D95*VLOOKUP($C95,Foods!$A:$E,5,FALSE),"Add to Foods"))</f>
        <v/>
      </c>
      <c r="H95" s="12"/>
      <c r="I95" s="12" t="str">
        <f>IF($C95="","",IF(COUNTIF(Foods!$A:$A,$C95)&gt;0,"Yes","No - add nickname"))</f>
        <v/>
      </c>
    </row>
    <row r="96" ht="15.75" customHeight="1">
      <c r="A96" s="16"/>
      <c r="B96" s="12"/>
      <c r="C96" s="12"/>
      <c r="D96" s="13"/>
      <c r="E96" s="13" t="str">
        <f>IF($C96="","",IFERROR($D96*VLOOKUP($C96,Foods!$A:$E,3,FALSE),"Add to Foods"))</f>
        <v/>
      </c>
      <c r="F96" s="13" t="str">
        <f>IF($C96="","",IFERROR($D96*VLOOKUP($C96,Foods!$A:$E,4,FALSE),"Add to Foods"))</f>
        <v/>
      </c>
      <c r="G96" s="13" t="str">
        <f>IF($C96="","",IFERROR($D96*VLOOKUP($C96,Foods!$A:$E,5,FALSE),"Add to Foods"))</f>
        <v/>
      </c>
      <c r="H96" s="12"/>
      <c r="I96" s="12" t="str">
        <f>IF($C96="","",IF(COUNTIF(Foods!$A:$A,$C96)&gt;0,"Yes","No - add nickname"))</f>
        <v/>
      </c>
    </row>
    <row r="97" ht="15.75" customHeight="1">
      <c r="A97" s="16"/>
      <c r="B97" s="12"/>
      <c r="C97" s="12"/>
      <c r="D97" s="13"/>
      <c r="E97" s="13" t="str">
        <f>IF($C97="","",IFERROR($D97*VLOOKUP($C97,Foods!$A:$E,3,FALSE),"Add to Foods"))</f>
        <v/>
      </c>
      <c r="F97" s="13" t="str">
        <f>IF($C97="","",IFERROR($D97*VLOOKUP($C97,Foods!$A:$E,4,FALSE),"Add to Foods"))</f>
        <v/>
      </c>
      <c r="G97" s="13" t="str">
        <f>IF($C97="","",IFERROR($D97*VLOOKUP($C97,Foods!$A:$E,5,FALSE),"Add to Foods"))</f>
        <v/>
      </c>
      <c r="H97" s="12"/>
      <c r="I97" s="12" t="str">
        <f>IF($C97="","",IF(COUNTIF(Foods!$A:$A,$C97)&gt;0,"Yes","No - add nickname"))</f>
        <v/>
      </c>
    </row>
    <row r="98" ht="15.75" customHeight="1">
      <c r="A98" s="16"/>
      <c r="B98" s="12"/>
      <c r="C98" s="12"/>
      <c r="D98" s="13"/>
      <c r="E98" s="13" t="str">
        <f>IF($C98="","",IFERROR($D98*VLOOKUP($C98,Foods!$A:$E,3,FALSE),"Add to Foods"))</f>
        <v/>
      </c>
      <c r="F98" s="13" t="str">
        <f>IF($C98="","",IFERROR($D98*VLOOKUP($C98,Foods!$A:$E,4,FALSE),"Add to Foods"))</f>
        <v/>
      </c>
      <c r="G98" s="13" t="str">
        <f>IF($C98="","",IFERROR($D98*VLOOKUP($C98,Foods!$A:$E,5,FALSE),"Add to Foods"))</f>
        <v/>
      </c>
      <c r="H98" s="12"/>
      <c r="I98" s="12" t="str">
        <f>IF($C98="","",IF(COUNTIF(Foods!$A:$A,$C98)&gt;0,"Yes","No - add nickname"))</f>
        <v/>
      </c>
    </row>
    <row r="99" ht="15.75" customHeight="1">
      <c r="A99" s="16"/>
      <c r="B99" s="12"/>
      <c r="C99" s="12"/>
      <c r="D99" s="13"/>
      <c r="E99" s="13" t="str">
        <f>IF($C99="","",IFERROR($D99*VLOOKUP($C99,Foods!$A:$E,3,FALSE),"Add to Foods"))</f>
        <v/>
      </c>
      <c r="F99" s="13" t="str">
        <f>IF($C99="","",IFERROR($D99*VLOOKUP($C99,Foods!$A:$E,4,FALSE),"Add to Foods"))</f>
        <v/>
      </c>
      <c r="G99" s="13" t="str">
        <f>IF($C99="","",IFERROR($D99*VLOOKUP($C99,Foods!$A:$E,5,FALSE),"Add to Foods"))</f>
        <v/>
      </c>
      <c r="H99" s="12"/>
      <c r="I99" s="12" t="str">
        <f>IF($C99="","",IF(COUNTIF(Foods!$A:$A,$C99)&gt;0,"Yes","No - add nickname"))</f>
        <v/>
      </c>
    </row>
    <row r="100" ht="15.75" customHeight="1">
      <c r="A100" s="16"/>
      <c r="B100" s="12"/>
      <c r="C100" s="12"/>
      <c r="D100" s="13"/>
      <c r="E100" s="13" t="str">
        <f>IF($C100="","",IFERROR($D100*VLOOKUP($C100,Foods!$A:$E,3,FALSE),"Add to Foods"))</f>
        <v/>
      </c>
      <c r="F100" s="13" t="str">
        <f>IF($C100="","",IFERROR($D100*VLOOKUP($C100,Foods!$A:$E,4,FALSE),"Add to Foods"))</f>
        <v/>
      </c>
      <c r="G100" s="13" t="str">
        <f>IF($C100="","",IFERROR($D100*VLOOKUP($C100,Foods!$A:$E,5,FALSE),"Add to Foods"))</f>
        <v/>
      </c>
      <c r="H100" s="12"/>
      <c r="I100" s="12" t="str">
        <f>IF($C100="","",IF(COUNTIF(Foods!$A:$A,$C100)&gt;0,"Yes","No - add nickname"))</f>
        <v/>
      </c>
    </row>
    <row r="101" ht="15.75" customHeight="1">
      <c r="A101" s="16"/>
      <c r="B101" s="12"/>
      <c r="C101" s="12"/>
      <c r="D101" s="13"/>
      <c r="E101" s="13" t="str">
        <f>IF($C101="","",IFERROR($D101*VLOOKUP($C101,Foods!$A:$E,3,FALSE),"Add to Foods"))</f>
        <v/>
      </c>
      <c r="F101" s="13" t="str">
        <f>IF($C101="","",IFERROR($D101*VLOOKUP($C101,Foods!$A:$E,4,FALSE),"Add to Foods"))</f>
        <v/>
      </c>
      <c r="G101" s="13" t="str">
        <f>IF($C101="","",IFERROR($D101*VLOOKUP($C101,Foods!$A:$E,5,FALSE),"Add to Foods"))</f>
        <v/>
      </c>
      <c r="H101" s="12"/>
      <c r="I101" s="12" t="str">
        <f>IF($C101="","",IF(COUNTIF(Foods!$A:$A,$C101)&gt;0,"Yes","No - add nickname"))</f>
        <v/>
      </c>
    </row>
    <row r="102" ht="15.75" customHeight="1">
      <c r="A102" s="16"/>
      <c r="B102" s="12"/>
      <c r="C102" s="12"/>
      <c r="D102" s="13"/>
      <c r="E102" s="13" t="str">
        <f>IF($C102="","",IFERROR($D102*VLOOKUP($C102,Foods!$A:$E,3,FALSE),"Add to Foods"))</f>
        <v/>
      </c>
      <c r="F102" s="13" t="str">
        <f>IF($C102="","",IFERROR($D102*VLOOKUP($C102,Foods!$A:$E,4,FALSE),"Add to Foods"))</f>
        <v/>
      </c>
      <c r="G102" s="13" t="str">
        <f>IF($C102="","",IFERROR($D102*VLOOKUP($C102,Foods!$A:$E,5,FALSE),"Add to Foods"))</f>
        <v/>
      </c>
      <c r="H102" s="12"/>
      <c r="I102" s="12" t="str">
        <f>IF($C102="","",IF(COUNTIF(Foods!$A:$A,$C102)&gt;0,"Yes","No - add nickname"))</f>
        <v/>
      </c>
    </row>
    <row r="103" ht="15.75" customHeight="1">
      <c r="A103" s="16"/>
      <c r="B103" s="12"/>
      <c r="C103" s="12"/>
      <c r="D103" s="13"/>
      <c r="E103" s="13" t="str">
        <f>IF($C103="","",IFERROR($D103*VLOOKUP($C103,Foods!$A:$E,3,FALSE),"Add to Foods"))</f>
        <v/>
      </c>
      <c r="F103" s="13" t="str">
        <f>IF($C103="","",IFERROR($D103*VLOOKUP($C103,Foods!$A:$E,4,FALSE),"Add to Foods"))</f>
        <v/>
      </c>
      <c r="G103" s="13" t="str">
        <f>IF($C103="","",IFERROR($D103*VLOOKUP($C103,Foods!$A:$E,5,FALSE),"Add to Foods"))</f>
        <v/>
      </c>
      <c r="H103" s="12"/>
      <c r="I103" s="12" t="str">
        <f>IF($C103="","",IF(COUNTIF(Foods!$A:$A,$C103)&gt;0,"Yes","No - add nickname"))</f>
        <v/>
      </c>
    </row>
    <row r="104" ht="15.75" customHeight="1">
      <c r="A104" s="16"/>
      <c r="B104" s="12"/>
      <c r="C104" s="12"/>
      <c r="D104" s="13"/>
      <c r="E104" s="13" t="str">
        <f>IF($C104="","",IFERROR($D104*VLOOKUP($C104,Foods!$A:$E,3,FALSE),"Add to Foods"))</f>
        <v/>
      </c>
      <c r="F104" s="13" t="str">
        <f>IF($C104="","",IFERROR($D104*VLOOKUP($C104,Foods!$A:$E,4,FALSE),"Add to Foods"))</f>
        <v/>
      </c>
      <c r="G104" s="13" t="str">
        <f>IF($C104="","",IFERROR($D104*VLOOKUP($C104,Foods!$A:$E,5,FALSE),"Add to Foods"))</f>
        <v/>
      </c>
      <c r="H104" s="12"/>
      <c r="I104" s="12" t="str">
        <f>IF($C104="","",IF(COUNTIF(Foods!$A:$A,$C104)&gt;0,"Yes","No - add nickname"))</f>
        <v/>
      </c>
    </row>
    <row r="105" ht="15.75" customHeight="1">
      <c r="A105" s="17"/>
      <c r="B105" s="12"/>
      <c r="C105" s="12"/>
      <c r="D105" s="13"/>
      <c r="E105" s="13" t="str">
        <f>IF($C105="","",IFERROR($D105*VLOOKUP($C105,Foods!$A:$E,3,FALSE),"Add to Foods"))</f>
        <v/>
      </c>
      <c r="F105" s="13" t="str">
        <f>IF($C105="","",IFERROR($D105*VLOOKUP($C105,Foods!$A:$E,4,FALSE),"Add to Foods"))</f>
        <v/>
      </c>
      <c r="G105" s="13" t="str">
        <f>IF($C105="","",IFERROR($D105*VLOOKUP($C105,Foods!$A:$E,5,FALSE),"Add to Foods"))</f>
        <v/>
      </c>
      <c r="H105" s="12"/>
      <c r="I105" s="12" t="str">
        <f>IF($C105="","",IF(COUNTIF(Foods!$A:$A,$C105)&gt;0,"Yes","No - add nickname"))</f>
        <v/>
      </c>
    </row>
    <row r="106" ht="15.75" customHeight="1">
      <c r="A106" s="17"/>
      <c r="B106" s="12"/>
      <c r="C106" s="12"/>
      <c r="D106" s="13"/>
      <c r="E106" s="13" t="str">
        <f>IF($C106="","",IFERROR($D106*VLOOKUP($C106,Foods!$A:$E,3,FALSE),"Add to Foods"))</f>
        <v/>
      </c>
      <c r="F106" s="13" t="str">
        <f>IF($C106="","",IFERROR($D106*VLOOKUP($C106,Foods!$A:$E,4,FALSE),"Add to Foods"))</f>
        <v/>
      </c>
      <c r="G106" s="13" t="str">
        <f>IF($C106="","",IFERROR($D106*VLOOKUP($C106,Foods!$A:$E,5,FALSE),"Add to Foods"))</f>
        <v/>
      </c>
      <c r="H106" s="12"/>
      <c r="I106" s="12" t="str">
        <f>IF($C106="","",IF(COUNTIF(Foods!$A:$A,$C106)&gt;0,"Yes","No - add nickname"))</f>
        <v/>
      </c>
    </row>
    <row r="107" ht="15.75" customHeight="1">
      <c r="A107" s="17"/>
      <c r="B107" s="12"/>
      <c r="C107" s="12"/>
      <c r="D107" s="13"/>
      <c r="E107" s="13" t="str">
        <f>IF($C107="","",IFERROR($D107*VLOOKUP($C107,Foods!$A:$E,3,FALSE),"Add to Foods"))</f>
        <v/>
      </c>
      <c r="F107" s="13" t="str">
        <f>IF($C107="","",IFERROR($D107*VLOOKUP($C107,Foods!$A:$E,4,FALSE),"Add to Foods"))</f>
        <v/>
      </c>
      <c r="G107" s="13" t="str">
        <f>IF($C107="","",IFERROR($D107*VLOOKUP($C107,Foods!$A:$E,5,FALSE),"Add to Foods"))</f>
        <v/>
      </c>
      <c r="H107" s="12"/>
      <c r="I107" s="12" t="str">
        <f>IF($C107="","",IF(COUNTIF(Foods!$A:$A,$C107)&gt;0,"Yes","No - add nickname"))</f>
        <v/>
      </c>
    </row>
    <row r="108" ht="15.75" customHeight="1">
      <c r="A108" s="17"/>
      <c r="B108" s="12"/>
      <c r="C108" s="12"/>
      <c r="D108" s="13"/>
      <c r="E108" s="13" t="str">
        <f>IF($C108="","",IFERROR($D108*VLOOKUP($C108,Foods!$A:$E,3,FALSE),"Add to Foods"))</f>
        <v/>
      </c>
      <c r="F108" s="13" t="str">
        <f>IF($C108="","",IFERROR($D108*VLOOKUP($C108,Foods!$A:$E,4,FALSE),"Add to Foods"))</f>
        <v/>
      </c>
      <c r="G108" s="13" t="str">
        <f>IF($C108="","",IFERROR($D108*VLOOKUP($C108,Foods!$A:$E,5,FALSE),"Add to Foods"))</f>
        <v/>
      </c>
      <c r="H108" s="12"/>
      <c r="I108" s="12" t="str">
        <f>IF($C108="","",IF(COUNTIF(Foods!$A:$A,$C108)&gt;0,"Yes","No - add nickname"))</f>
        <v/>
      </c>
    </row>
    <row r="109" ht="15.75" customHeight="1">
      <c r="A109" s="17"/>
      <c r="B109" s="12"/>
      <c r="C109" s="12"/>
      <c r="D109" s="13"/>
      <c r="E109" s="13" t="str">
        <f>IF($C109="","",IFERROR($D109*VLOOKUP($C109,Foods!$A:$E,3,FALSE),"Add to Foods"))</f>
        <v/>
      </c>
      <c r="F109" s="13" t="str">
        <f>IF($C109="","",IFERROR($D109*VLOOKUP($C109,Foods!$A:$E,4,FALSE),"Add to Foods"))</f>
        <v/>
      </c>
      <c r="G109" s="13" t="str">
        <f>IF($C109="","",IFERROR($D109*VLOOKUP($C109,Foods!$A:$E,5,FALSE),"Add to Foods"))</f>
        <v/>
      </c>
      <c r="H109" s="12"/>
      <c r="I109" s="12" t="str">
        <f>IF($C109="","",IF(COUNTIF(Foods!$A:$A,$C109)&gt;0,"Yes","No - add nickname"))</f>
        <v/>
      </c>
    </row>
    <row r="110" ht="15.75" customHeight="1">
      <c r="A110" s="17"/>
      <c r="B110" s="12"/>
      <c r="C110" s="12"/>
      <c r="D110" s="13"/>
      <c r="E110" s="13" t="str">
        <f>IF($C110="","",IFERROR($D110*VLOOKUP($C110,Foods!$A:$E,3,FALSE),"Add to Foods"))</f>
        <v/>
      </c>
      <c r="F110" s="13" t="str">
        <f>IF($C110="","",IFERROR($D110*VLOOKUP($C110,Foods!$A:$E,4,FALSE),"Add to Foods"))</f>
        <v/>
      </c>
      <c r="G110" s="13" t="str">
        <f>IF($C110="","",IFERROR($D110*VLOOKUP($C110,Foods!$A:$E,5,FALSE),"Add to Foods"))</f>
        <v/>
      </c>
      <c r="H110" s="12"/>
      <c r="I110" s="12" t="str">
        <f>IF($C110="","",IF(COUNTIF(Foods!$A:$A,$C110)&gt;0,"Yes","No - add nickname"))</f>
        <v/>
      </c>
    </row>
    <row r="111" ht="15.75" customHeight="1">
      <c r="A111" s="17"/>
      <c r="B111" s="12"/>
      <c r="C111" s="12"/>
      <c r="D111" s="13"/>
      <c r="E111" s="13" t="str">
        <f>IF($C111="","",IFERROR($D111*VLOOKUP($C111,Foods!$A:$E,3,FALSE),"Add to Foods"))</f>
        <v/>
      </c>
      <c r="F111" s="13" t="str">
        <f>IF($C111="","",IFERROR($D111*VLOOKUP($C111,Foods!$A:$E,4,FALSE),"Add to Foods"))</f>
        <v/>
      </c>
      <c r="G111" s="13" t="str">
        <f>IF($C111="","",IFERROR($D111*VLOOKUP($C111,Foods!$A:$E,5,FALSE),"Add to Foods"))</f>
        <v/>
      </c>
      <c r="H111" s="12"/>
      <c r="I111" s="12" t="str">
        <f>IF($C111="","",IF(COUNTIF(Foods!$A:$A,$C111)&gt;0,"Yes","No - add nickname"))</f>
        <v/>
      </c>
    </row>
    <row r="112" ht="15.75" customHeight="1">
      <c r="A112" s="17"/>
      <c r="B112" s="12"/>
      <c r="C112" s="12"/>
      <c r="D112" s="13"/>
      <c r="E112" s="13" t="str">
        <f>IF($C112="","",IFERROR($D112*VLOOKUP($C112,Foods!$A:$E,3,FALSE),"Add to Foods"))</f>
        <v/>
      </c>
      <c r="F112" s="13" t="str">
        <f>IF($C112="","",IFERROR($D112*VLOOKUP($C112,Foods!$A:$E,4,FALSE),"Add to Foods"))</f>
        <v/>
      </c>
      <c r="G112" s="13" t="str">
        <f>IF($C112="","",IFERROR($D112*VLOOKUP($C112,Foods!$A:$E,5,FALSE),"Add to Foods"))</f>
        <v/>
      </c>
      <c r="H112" s="12"/>
      <c r="I112" s="12" t="str">
        <f>IF($C112="","",IF(COUNTIF(Foods!$A:$A,$C112)&gt;0,"Yes","No - add nickname"))</f>
        <v/>
      </c>
    </row>
    <row r="113" ht="15.75" customHeight="1">
      <c r="A113" s="17"/>
      <c r="B113" s="12"/>
      <c r="C113" s="12"/>
      <c r="D113" s="13"/>
      <c r="E113" s="13" t="str">
        <f>IF($C113="","",IFERROR($D113*VLOOKUP($C113,Foods!$A:$E,3,FALSE),"Add to Foods"))</f>
        <v/>
      </c>
      <c r="F113" s="13" t="str">
        <f>IF($C113="","",IFERROR($D113*VLOOKUP($C113,Foods!$A:$E,4,FALSE),"Add to Foods"))</f>
        <v/>
      </c>
      <c r="G113" s="13" t="str">
        <f>IF($C113="","",IFERROR($D113*VLOOKUP($C113,Foods!$A:$E,5,FALSE),"Add to Foods"))</f>
        <v/>
      </c>
      <c r="H113" s="12"/>
      <c r="I113" s="12" t="str">
        <f>IF($C113="","",IF(COUNTIF(Foods!$A:$A,$C113)&gt;0,"Yes","No - add nickname"))</f>
        <v/>
      </c>
    </row>
    <row r="114" ht="15.75" customHeight="1">
      <c r="A114" s="17"/>
      <c r="B114" s="12"/>
      <c r="C114" s="12"/>
      <c r="D114" s="13"/>
      <c r="E114" s="13" t="str">
        <f>IF($C114="","",IFERROR($D114*VLOOKUP($C114,Foods!$A:$E,3,FALSE),"Add to Foods"))</f>
        <v/>
      </c>
      <c r="F114" s="13" t="str">
        <f>IF($C114="","",IFERROR($D114*VLOOKUP($C114,Foods!$A:$E,4,FALSE),"Add to Foods"))</f>
        <v/>
      </c>
      <c r="G114" s="13" t="str">
        <f>IF($C114="","",IFERROR($D114*VLOOKUP($C114,Foods!$A:$E,5,FALSE),"Add to Foods"))</f>
        <v/>
      </c>
      <c r="H114" s="12"/>
      <c r="I114" s="12" t="str">
        <f>IF($C114="","",IF(COUNTIF(Foods!$A:$A,$C114)&gt;0,"Yes","No - add nickname"))</f>
        <v/>
      </c>
    </row>
    <row r="115" ht="15.75" customHeight="1">
      <c r="A115" s="17"/>
      <c r="B115" s="12"/>
      <c r="C115" s="12"/>
      <c r="D115" s="13"/>
      <c r="E115" s="13" t="str">
        <f>IF($C115="","",IFERROR($D115*VLOOKUP($C115,Foods!$A:$E,3,FALSE),"Add to Foods"))</f>
        <v/>
      </c>
      <c r="F115" s="13" t="str">
        <f>IF($C115="","",IFERROR($D115*VLOOKUP($C115,Foods!$A:$E,4,FALSE),"Add to Foods"))</f>
        <v/>
      </c>
      <c r="G115" s="13" t="str">
        <f>IF($C115="","",IFERROR($D115*VLOOKUP($C115,Foods!$A:$E,5,FALSE),"Add to Foods"))</f>
        <v/>
      </c>
      <c r="H115" s="12"/>
      <c r="I115" s="12" t="str">
        <f>IF($C115="","",IF(COUNTIF(Foods!$A:$A,$C115)&gt;0,"Yes","No - add nickname"))</f>
        <v/>
      </c>
    </row>
    <row r="116" ht="15.75" customHeight="1">
      <c r="A116" s="17"/>
      <c r="B116" s="12"/>
      <c r="C116" s="12"/>
      <c r="D116" s="13"/>
      <c r="E116" s="13" t="str">
        <f>IF($C116="","",IFERROR($D116*VLOOKUP($C116,Foods!$A:$E,3,FALSE),"Add to Foods"))</f>
        <v/>
      </c>
      <c r="F116" s="13" t="str">
        <f>IF($C116="","",IFERROR($D116*VLOOKUP($C116,Foods!$A:$E,4,FALSE),"Add to Foods"))</f>
        <v/>
      </c>
      <c r="G116" s="13" t="str">
        <f>IF($C116="","",IFERROR($D116*VLOOKUP($C116,Foods!$A:$E,5,FALSE),"Add to Foods"))</f>
        <v/>
      </c>
      <c r="H116" s="12"/>
      <c r="I116" s="12" t="str">
        <f>IF($C116="","",IF(COUNTIF(Foods!$A:$A,$C116)&gt;0,"Yes","No - add nickname"))</f>
        <v/>
      </c>
    </row>
    <row r="117" ht="15.75" customHeight="1">
      <c r="A117" s="17"/>
      <c r="B117" s="12"/>
      <c r="C117" s="12"/>
      <c r="D117" s="13"/>
      <c r="E117" s="13" t="str">
        <f>IF($C117="","",IFERROR($D117*VLOOKUP($C117,Foods!$A:$E,3,FALSE),"Add to Foods"))</f>
        <v/>
      </c>
      <c r="F117" s="13" t="str">
        <f>IF($C117="","",IFERROR($D117*VLOOKUP($C117,Foods!$A:$E,4,FALSE),"Add to Foods"))</f>
        <v/>
      </c>
      <c r="G117" s="13" t="str">
        <f>IF($C117="","",IFERROR($D117*VLOOKUP($C117,Foods!$A:$E,5,FALSE),"Add to Foods"))</f>
        <v/>
      </c>
      <c r="H117" s="12"/>
      <c r="I117" s="12" t="str">
        <f>IF($C117="","",IF(COUNTIF(Foods!$A:$A,$C117)&gt;0,"Yes","No - add nickname"))</f>
        <v/>
      </c>
    </row>
    <row r="118" ht="15.75" customHeight="1">
      <c r="A118" s="17"/>
      <c r="B118" s="12"/>
      <c r="C118" s="12"/>
      <c r="D118" s="13"/>
      <c r="E118" s="13" t="str">
        <f>IF($C118="","",IFERROR($D118*VLOOKUP($C118,Foods!$A:$E,3,FALSE),"Add to Foods"))</f>
        <v/>
      </c>
      <c r="F118" s="13" t="str">
        <f>IF($C118="","",IFERROR($D118*VLOOKUP($C118,Foods!$A:$E,4,FALSE),"Add to Foods"))</f>
        <v/>
      </c>
      <c r="G118" s="13" t="str">
        <f>IF($C118="","",IFERROR($D118*VLOOKUP($C118,Foods!$A:$E,5,FALSE),"Add to Foods"))</f>
        <v/>
      </c>
      <c r="H118" s="12"/>
      <c r="I118" s="12" t="str">
        <f>IF($C118="","",IF(COUNTIF(Foods!$A:$A,$C118)&gt;0,"Yes","No - add nickname"))</f>
        <v/>
      </c>
    </row>
    <row r="119" ht="15.75" customHeight="1">
      <c r="A119" s="17"/>
      <c r="B119" s="12"/>
      <c r="C119" s="12"/>
      <c r="D119" s="13"/>
      <c r="E119" s="13" t="str">
        <f>IF($C119="","",IFERROR($D119*VLOOKUP($C119,Foods!$A:$E,3,FALSE),"Add to Foods"))</f>
        <v/>
      </c>
      <c r="F119" s="13" t="str">
        <f>IF($C119="","",IFERROR($D119*VLOOKUP($C119,Foods!$A:$E,4,FALSE),"Add to Foods"))</f>
        <v/>
      </c>
      <c r="G119" s="13" t="str">
        <f>IF($C119="","",IFERROR($D119*VLOOKUP($C119,Foods!$A:$E,5,FALSE),"Add to Foods"))</f>
        <v/>
      </c>
      <c r="H119" s="12"/>
      <c r="I119" s="12" t="str">
        <f>IF($C119="","",IF(COUNTIF(Foods!$A:$A,$C119)&gt;0,"Yes","No - add nickname"))</f>
        <v/>
      </c>
    </row>
    <row r="120" ht="15.75" customHeight="1">
      <c r="A120" s="17"/>
      <c r="B120" s="12"/>
      <c r="C120" s="12"/>
      <c r="D120" s="13"/>
      <c r="E120" s="13" t="str">
        <f>IF($C120="","",IFERROR($D120*VLOOKUP($C120,Foods!$A:$E,3,FALSE),"Add to Foods"))</f>
        <v/>
      </c>
      <c r="F120" s="13" t="str">
        <f>IF($C120="","",IFERROR($D120*VLOOKUP($C120,Foods!$A:$E,4,FALSE),"Add to Foods"))</f>
        <v/>
      </c>
      <c r="G120" s="13" t="str">
        <f>IF($C120="","",IFERROR($D120*VLOOKUP($C120,Foods!$A:$E,5,FALSE),"Add to Foods"))</f>
        <v/>
      </c>
      <c r="H120" s="12"/>
      <c r="I120" s="12" t="str">
        <f>IF($C120="","",IF(COUNTIF(Foods!$A:$A,$C120)&gt;0,"Yes","No - add nickname"))</f>
        <v/>
      </c>
    </row>
    <row r="121" ht="15.75" customHeight="1">
      <c r="A121" s="17"/>
      <c r="B121" s="12"/>
      <c r="C121" s="12"/>
      <c r="D121" s="13"/>
      <c r="E121" s="13" t="str">
        <f>IF($C121="","",IFERROR($D121*VLOOKUP($C121,Foods!$A:$E,3,FALSE),"Add to Foods"))</f>
        <v/>
      </c>
      <c r="F121" s="13" t="str">
        <f>IF($C121="","",IFERROR($D121*VLOOKUP($C121,Foods!$A:$E,4,FALSE),"Add to Foods"))</f>
        <v/>
      </c>
      <c r="G121" s="13" t="str">
        <f>IF($C121="","",IFERROR($D121*VLOOKUP($C121,Foods!$A:$E,5,FALSE),"Add to Foods"))</f>
        <v/>
      </c>
      <c r="H121" s="12"/>
      <c r="I121" s="12" t="str">
        <f>IF($C121="","",IF(COUNTIF(Foods!$A:$A,$C121)&gt;0,"Yes","No - add nickname"))</f>
        <v/>
      </c>
    </row>
    <row r="122" ht="15.75" customHeight="1">
      <c r="A122" s="17"/>
      <c r="B122" s="12"/>
      <c r="C122" s="12"/>
      <c r="D122" s="13"/>
      <c r="E122" s="13" t="str">
        <f>IF($C122="","",IFERROR($D122*VLOOKUP($C122,Foods!$A:$E,3,FALSE),"Add to Foods"))</f>
        <v/>
      </c>
      <c r="F122" s="13" t="str">
        <f>IF($C122="","",IFERROR($D122*VLOOKUP($C122,Foods!$A:$E,4,FALSE),"Add to Foods"))</f>
        <v/>
      </c>
      <c r="G122" s="13" t="str">
        <f>IF($C122="","",IFERROR($D122*VLOOKUP($C122,Foods!$A:$E,5,FALSE),"Add to Foods"))</f>
        <v/>
      </c>
      <c r="H122" s="12"/>
      <c r="I122" s="12" t="str">
        <f>IF($C122="","",IF(COUNTIF(Foods!$A:$A,$C122)&gt;0,"Yes","No - add nickname"))</f>
        <v/>
      </c>
    </row>
    <row r="123" ht="15.75" customHeight="1">
      <c r="A123" s="17"/>
      <c r="B123" s="12"/>
      <c r="C123" s="12"/>
      <c r="D123" s="13"/>
      <c r="E123" s="13" t="str">
        <f>IF($C123="","",IFERROR($D123*VLOOKUP($C123,Foods!$A:$E,3,FALSE),"Add to Foods"))</f>
        <v/>
      </c>
      <c r="F123" s="13" t="str">
        <f>IF($C123="","",IFERROR($D123*VLOOKUP($C123,Foods!$A:$E,4,FALSE),"Add to Foods"))</f>
        <v/>
      </c>
      <c r="G123" s="13" t="str">
        <f>IF($C123="","",IFERROR($D123*VLOOKUP($C123,Foods!$A:$E,5,FALSE),"Add to Foods"))</f>
        <v/>
      </c>
      <c r="H123" s="12"/>
      <c r="I123" s="12" t="str">
        <f>IF($C123="","",IF(COUNTIF(Foods!$A:$A,$C123)&gt;0,"Yes","No - add nickname"))</f>
        <v/>
      </c>
    </row>
    <row r="124" ht="15.75" customHeight="1">
      <c r="A124" s="17"/>
      <c r="B124" s="12"/>
      <c r="C124" s="12"/>
      <c r="D124" s="13"/>
      <c r="E124" s="13" t="str">
        <f>IF($C124="","",IFERROR($D124*VLOOKUP($C124,Foods!$A:$E,3,FALSE),"Add to Foods"))</f>
        <v/>
      </c>
      <c r="F124" s="13" t="str">
        <f>IF($C124="","",IFERROR($D124*VLOOKUP($C124,Foods!$A:$E,4,FALSE),"Add to Foods"))</f>
        <v/>
      </c>
      <c r="G124" s="13" t="str">
        <f>IF($C124="","",IFERROR($D124*VLOOKUP($C124,Foods!$A:$E,5,FALSE),"Add to Foods"))</f>
        <v/>
      </c>
      <c r="H124" s="12"/>
      <c r="I124" s="12" t="str">
        <f>IF($C124="","",IF(COUNTIF(Foods!$A:$A,$C124)&gt;0,"Yes","No - add nickname"))</f>
        <v/>
      </c>
    </row>
    <row r="125" ht="15.75" customHeight="1">
      <c r="A125" s="17"/>
      <c r="B125" s="12"/>
      <c r="C125" s="12"/>
      <c r="D125" s="13"/>
      <c r="E125" s="13" t="str">
        <f>IF($C125="","",IFERROR($D125*VLOOKUP($C125,Foods!$A:$E,3,FALSE),"Add to Foods"))</f>
        <v/>
      </c>
      <c r="F125" s="13" t="str">
        <f>IF($C125="","",IFERROR($D125*VLOOKUP($C125,Foods!$A:$E,4,FALSE),"Add to Foods"))</f>
        <v/>
      </c>
      <c r="G125" s="13" t="str">
        <f>IF($C125="","",IFERROR($D125*VLOOKUP($C125,Foods!$A:$E,5,FALSE),"Add to Foods"))</f>
        <v/>
      </c>
      <c r="H125" s="12"/>
      <c r="I125" s="12" t="str">
        <f>IF($C125="","",IF(COUNTIF(Foods!$A:$A,$C125)&gt;0,"Yes","No - add nickname"))</f>
        <v/>
      </c>
    </row>
    <row r="126" ht="15.75" customHeight="1">
      <c r="A126" s="17"/>
      <c r="B126" s="12"/>
      <c r="C126" s="12"/>
      <c r="D126" s="13"/>
      <c r="E126" s="13" t="str">
        <f>IF($C126="","",IFERROR($D126*VLOOKUP($C126,Foods!$A:$E,3,FALSE),"Add to Foods"))</f>
        <v/>
      </c>
      <c r="F126" s="13" t="str">
        <f>IF($C126="","",IFERROR($D126*VLOOKUP($C126,Foods!$A:$E,4,FALSE),"Add to Foods"))</f>
        <v/>
      </c>
      <c r="G126" s="13" t="str">
        <f>IF($C126="","",IFERROR($D126*VLOOKUP($C126,Foods!$A:$E,5,FALSE),"Add to Foods"))</f>
        <v/>
      </c>
      <c r="H126" s="12"/>
      <c r="I126" s="12" t="str">
        <f>IF($C126="","",IF(COUNTIF(Foods!$A:$A,$C126)&gt;0,"Yes","No - add nickname"))</f>
        <v/>
      </c>
    </row>
    <row r="127" ht="15.75" customHeight="1">
      <c r="A127" s="17"/>
      <c r="B127" s="12"/>
      <c r="C127" s="12"/>
      <c r="D127" s="13"/>
      <c r="E127" s="13" t="str">
        <f>IF($C127="","",IFERROR($D127*VLOOKUP($C127,Foods!$A:$E,3,FALSE),"Add to Foods"))</f>
        <v/>
      </c>
      <c r="F127" s="13" t="str">
        <f>IF($C127="","",IFERROR($D127*VLOOKUP($C127,Foods!$A:$E,4,FALSE),"Add to Foods"))</f>
        <v/>
      </c>
      <c r="G127" s="13" t="str">
        <f>IF($C127="","",IFERROR($D127*VLOOKUP($C127,Foods!$A:$E,5,FALSE),"Add to Foods"))</f>
        <v/>
      </c>
      <c r="H127" s="12"/>
      <c r="I127" s="12" t="str">
        <f>IF($C127="","",IF(COUNTIF(Foods!$A:$A,$C127)&gt;0,"Yes","No - add nickname"))</f>
        <v/>
      </c>
    </row>
    <row r="128" ht="15.75" customHeight="1">
      <c r="A128" s="17"/>
      <c r="B128" s="12"/>
      <c r="C128" s="12"/>
      <c r="D128" s="13"/>
      <c r="E128" s="13" t="str">
        <f>IF($C128="","",IFERROR($D128*VLOOKUP($C128,Foods!$A:$E,3,FALSE),"Add to Foods"))</f>
        <v/>
      </c>
      <c r="F128" s="13" t="str">
        <f>IF($C128="","",IFERROR($D128*VLOOKUP($C128,Foods!$A:$E,4,FALSE),"Add to Foods"))</f>
        <v/>
      </c>
      <c r="G128" s="13" t="str">
        <f>IF($C128="","",IFERROR($D128*VLOOKUP($C128,Foods!$A:$E,5,FALSE),"Add to Foods"))</f>
        <v/>
      </c>
      <c r="H128" s="12"/>
      <c r="I128" s="12" t="str">
        <f>IF($C128="","",IF(COUNTIF(Foods!$A:$A,$C128)&gt;0,"Yes","No - add nickname"))</f>
        <v/>
      </c>
    </row>
    <row r="129" ht="15.75" customHeight="1">
      <c r="A129" s="17"/>
      <c r="B129" s="12"/>
      <c r="C129" s="12"/>
      <c r="D129" s="13"/>
      <c r="E129" s="13" t="str">
        <f>IF($C129="","",IFERROR($D129*VLOOKUP($C129,Foods!$A:$E,3,FALSE),"Add to Foods"))</f>
        <v/>
      </c>
      <c r="F129" s="13" t="str">
        <f>IF($C129="","",IFERROR($D129*VLOOKUP($C129,Foods!$A:$E,4,FALSE),"Add to Foods"))</f>
        <v/>
      </c>
      <c r="G129" s="13" t="str">
        <f>IF($C129="","",IFERROR($D129*VLOOKUP($C129,Foods!$A:$E,5,FALSE),"Add to Foods"))</f>
        <v/>
      </c>
      <c r="H129" s="12"/>
      <c r="I129" s="12" t="str">
        <f>IF($C129="","",IF(COUNTIF(Foods!$A:$A,$C129)&gt;0,"Yes","No - add nickname"))</f>
        <v/>
      </c>
    </row>
    <row r="130" ht="15.75" customHeight="1">
      <c r="A130" s="17"/>
      <c r="B130" s="12"/>
      <c r="C130" s="12"/>
      <c r="D130" s="13"/>
      <c r="E130" s="13" t="str">
        <f>IF($C130="","",IFERROR($D130*VLOOKUP($C130,Foods!$A:$E,3,FALSE),"Add to Foods"))</f>
        <v/>
      </c>
      <c r="F130" s="13" t="str">
        <f>IF($C130="","",IFERROR($D130*VLOOKUP($C130,Foods!$A:$E,4,FALSE),"Add to Foods"))</f>
        <v/>
      </c>
      <c r="G130" s="13" t="str">
        <f>IF($C130="","",IFERROR($D130*VLOOKUP($C130,Foods!$A:$E,5,FALSE),"Add to Foods"))</f>
        <v/>
      </c>
      <c r="H130" s="12"/>
      <c r="I130" s="12" t="str">
        <f>IF($C130="","",IF(COUNTIF(Foods!$A:$A,$C130)&gt;0,"Yes","No - add nickname"))</f>
        <v/>
      </c>
    </row>
    <row r="131" ht="15.75" customHeight="1">
      <c r="A131" s="17"/>
      <c r="B131" s="12"/>
      <c r="C131" s="12"/>
      <c r="D131" s="13"/>
      <c r="E131" s="13" t="str">
        <f>IF($C131="","",IFERROR($D131*VLOOKUP($C131,Foods!$A:$E,3,FALSE),"Add to Foods"))</f>
        <v/>
      </c>
      <c r="F131" s="13" t="str">
        <f>IF($C131="","",IFERROR($D131*VLOOKUP($C131,Foods!$A:$E,4,FALSE),"Add to Foods"))</f>
        <v/>
      </c>
      <c r="G131" s="13" t="str">
        <f>IF($C131="","",IFERROR($D131*VLOOKUP($C131,Foods!$A:$E,5,FALSE),"Add to Foods"))</f>
        <v/>
      </c>
      <c r="H131" s="12"/>
      <c r="I131" s="12" t="str">
        <f>IF($C131="","",IF(COUNTIF(Foods!$A:$A,$C131)&gt;0,"Yes","No - add nickname"))</f>
        <v/>
      </c>
    </row>
    <row r="132" ht="15.75" customHeight="1">
      <c r="A132" s="17"/>
      <c r="B132" s="12"/>
      <c r="C132" s="12"/>
      <c r="D132" s="13"/>
      <c r="E132" s="13" t="str">
        <f>IF($C132="","",IFERROR($D132*VLOOKUP($C132,Foods!$A:$E,3,FALSE),"Add to Foods"))</f>
        <v/>
      </c>
      <c r="F132" s="13" t="str">
        <f>IF($C132="","",IFERROR($D132*VLOOKUP($C132,Foods!$A:$E,4,FALSE),"Add to Foods"))</f>
        <v/>
      </c>
      <c r="G132" s="13" t="str">
        <f>IF($C132="","",IFERROR($D132*VLOOKUP($C132,Foods!$A:$E,5,FALSE),"Add to Foods"))</f>
        <v/>
      </c>
      <c r="H132" s="12"/>
      <c r="I132" s="12" t="str">
        <f>IF($C132="","",IF(COUNTIF(Foods!$A:$A,$C132)&gt;0,"Yes","No - add nickname"))</f>
        <v/>
      </c>
    </row>
    <row r="133" ht="15.75" customHeight="1">
      <c r="A133" s="17"/>
      <c r="B133" s="12"/>
      <c r="C133" s="12"/>
      <c r="D133" s="13"/>
      <c r="E133" s="13" t="str">
        <f>IF($C133="","",IFERROR($D133*VLOOKUP($C133,Foods!$A:$E,3,FALSE),"Add to Foods"))</f>
        <v/>
      </c>
      <c r="F133" s="13" t="str">
        <f>IF($C133="","",IFERROR($D133*VLOOKUP($C133,Foods!$A:$E,4,FALSE),"Add to Foods"))</f>
        <v/>
      </c>
      <c r="G133" s="13" t="str">
        <f>IF($C133="","",IFERROR($D133*VLOOKUP($C133,Foods!$A:$E,5,FALSE),"Add to Foods"))</f>
        <v/>
      </c>
      <c r="H133" s="12"/>
      <c r="I133" s="12" t="str">
        <f>IF($C133="","",IF(COUNTIF(Foods!$A:$A,$C133)&gt;0,"Yes","No - add nickname"))</f>
        <v/>
      </c>
    </row>
    <row r="134" ht="15.75" customHeight="1">
      <c r="A134" s="17"/>
      <c r="B134" s="12"/>
      <c r="C134" s="12"/>
      <c r="D134" s="13"/>
      <c r="E134" s="13" t="str">
        <f>IF($C134="","",IFERROR($D134*VLOOKUP($C134,Foods!$A:$E,3,FALSE),"Add to Foods"))</f>
        <v/>
      </c>
      <c r="F134" s="13" t="str">
        <f>IF($C134="","",IFERROR($D134*VLOOKUP($C134,Foods!$A:$E,4,FALSE),"Add to Foods"))</f>
        <v/>
      </c>
      <c r="G134" s="13" t="str">
        <f>IF($C134="","",IFERROR($D134*VLOOKUP($C134,Foods!$A:$E,5,FALSE),"Add to Foods"))</f>
        <v/>
      </c>
      <c r="H134" s="12"/>
      <c r="I134" s="12" t="str">
        <f>IF($C134="","",IF(COUNTIF(Foods!$A:$A,$C134)&gt;0,"Yes","No - add nickname"))</f>
        <v/>
      </c>
    </row>
    <row r="135" ht="15.75" customHeight="1">
      <c r="A135" s="17"/>
      <c r="B135" s="12"/>
      <c r="C135" s="12"/>
      <c r="D135" s="13"/>
      <c r="E135" s="13" t="str">
        <f>IF($C135="","",IFERROR($D135*VLOOKUP($C135,Foods!$A:$E,3,FALSE),"Add to Foods"))</f>
        <v/>
      </c>
      <c r="F135" s="13" t="str">
        <f>IF($C135="","",IFERROR($D135*VLOOKUP($C135,Foods!$A:$E,4,FALSE),"Add to Foods"))</f>
        <v/>
      </c>
      <c r="G135" s="13" t="str">
        <f>IF($C135="","",IFERROR($D135*VLOOKUP($C135,Foods!$A:$E,5,FALSE),"Add to Foods"))</f>
        <v/>
      </c>
      <c r="H135" s="12"/>
      <c r="I135" s="12" t="str">
        <f>IF($C135="","",IF(COUNTIF(Foods!$A:$A,$C135)&gt;0,"Yes","No - add nickname"))</f>
        <v/>
      </c>
    </row>
    <row r="136" ht="15.75" customHeight="1">
      <c r="A136" s="17"/>
      <c r="B136" s="12"/>
      <c r="C136" s="12"/>
      <c r="D136" s="13"/>
      <c r="E136" s="13" t="str">
        <f>IF($C136="","",IFERROR($D136*VLOOKUP($C136,Foods!$A:$E,3,FALSE),"Add to Foods"))</f>
        <v/>
      </c>
      <c r="F136" s="13" t="str">
        <f>IF($C136="","",IFERROR($D136*VLOOKUP($C136,Foods!$A:$E,4,FALSE),"Add to Foods"))</f>
        <v/>
      </c>
      <c r="G136" s="13" t="str">
        <f>IF($C136="","",IFERROR($D136*VLOOKUP($C136,Foods!$A:$E,5,FALSE),"Add to Foods"))</f>
        <v/>
      </c>
      <c r="H136" s="12"/>
      <c r="I136" s="12" t="str">
        <f>IF($C136="","",IF(COUNTIF(Foods!$A:$A,$C136)&gt;0,"Yes","No - add nickname"))</f>
        <v/>
      </c>
    </row>
    <row r="137" ht="15.75" customHeight="1">
      <c r="A137" s="17"/>
      <c r="B137" s="12"/>
      <c r="C137" s="12"/>
      <c r="D137" s="13"/>
      <c r="E137" s="13" t="str">
        <f>IF($C137="","",IFERROR($D137*VLOOKUP($C137,Foods!$A:$E,3,FALSE),"Add to Foods"))</f>
        <v/>
      </c>
      <c r="F137" s="13" t="str">
        <f>IF($C137="","",IFERROR($D137*VLOOKUP($C137,Foods!$A:$E,4,FALSE),"Add to Foods"))</f>
        <v/>
      </c>
      <c r="G137" s="13" t="str">
        <f>IF($C137="","",IFERROR($D137*VLOOKUP($C137,Foods!$A:$E,5,FALSE),"Add to Foods"))</f>
        <v/>
      </c>
      <c r="H137" s="12"/>
      <c r="I137" s="12" t="str">
        <f>IF($C137="","",IF(COUNTIF(Foods!$A:$A,$C137)&gt;0,"Yes","No - add nickname"))</f>
        <v/>
      </c>
    </row>
    <row r="138" ht="15.75" customHeight="1">
      <c r="A138" s="17"/>
      <c r="B138" s="12"/>
      <c r="C138" s="12"/>
      <c r="D138" s="13"/>
      <c r="E138" s="13" t="str">
        <f>IF($C138="","",IFERROR($D138*VLOOKUP($C138,Foods!$A:$E,3,FALSE),"Add to Foods"))</f>
        <v/>
      </c>
      <c r="F138" s="13" t="str">
        <f>IF($C138="","",IFERROR($D138*VLOOKUP($C138,Foods!$A:$E,4,FALSE),"Add to Foods"))</f>
        <v/>
      </c>
      <c r="G138" s="13" t="str">
        <f>IF($C138="","",IFERROR($D138*VLOOKUP($C138,Foods!$A:$E,5,FALSE),"Add to Foods"))</f>
        <v/>
      </c>
      <c r="H138" s="12"/>
      <c r="I138" s="12" t="str">
        <f>IF($C138="","",IF(COUNTIF(Foods!$A:$A,$C138)&gt;0,"Yes","No - add nickname"))</f>
        <v/>
      </c>
    </row>
    <row r="139" ht="15.75" customHeight="1">
      <c r="A139" s="17"/>
      <c r="B139" s="12"/>
      <c r="C139" s="12"/>
      <c r="D139" s="13"/>
      <c r="E139" s="13" t="str">
        <f>IF($C139="","",IFERROR($D139*VLOOKUP($C139,Foods!$A:$E,3,FALSE),"Add to Foods"))</f>
        <v/>
      </c>
      <c r="F139" s="13" t="str">
        <f>IF($C139="","",IFERROR($D139*VLOOKUP($C139,Foods!$A:$E,4,FALSE),"Add to Foods"))</f>
        <v/>
      </c>
      <c r="G139" s="13" t="str">
        <f>IF($C139="","",IFERROR($D139*VLOOKUP($C139,Foods!$A:$E,5,FALSE),"Add to Foods"))</f>
        <v/>
      </c>
      <c r="H139" s="12"/>
      <c r="I139" s="12" t="str">
        <f>IF($C139="","",IF(COUNTIF(Foods!$A:$A,$C139)&gt;0,"Yes","No - add nickname"))</f>
        <v/>
      </c>
    </row>
    <row r="140" ht="15.75" customHeight="1">
      <c r="A140" s="17"/>
      <c r="B140" s="12"/>
      <c r="C140" s="12"/>
      <c r="D140" s="13"/>
      <c r="E140" s="13" t="str">
        <f>IF($C140="","",IFERROR($D140*VLOOKUP($C140,Foods!$A:$E,3,FALSE),"Add to Foods"))</f>
        <v/>
      </c>
      <c r="F140" s="13" t="str">
        <f>IF($C140="","",IFERROR($D140*VLOOKUP($C140,Foods!$A:$E,4,FALSE),"Add to Foods"))</f>
        <v/>
      </c>
      <c r="G140" s="13" t="str">
        <f>IF($C140="","",IFERROR($D140*VLOOKUP($C140,Foods!$A:$E,5,FALSE),"Add to Foods"))</f>
        <v/>
      </c>
      <c r="H140" s="12"/>
      <c r="I140" s="12" t="str">
        <f>IF($C140="","",IF(COUNTIF(Foods!$A:$A,$C140)&gt;0,"Yes","No - add nickname"))</f>
        <v/>
      </c>
    </row>
    <row r="141" ht="15.75" customHeight="1">
      <c r="A141" s="17"/>
      <c r="B141" s="12"/>
      <c r="C141" s="12"/>
      <c r="D141" s="13"/>
      <c r="E141" s="13" t="str">
        <f>IF($C141="","",IFERROR($D141*VLOOKUP($C141,Foods!$A:$E,3,FALSE),"Add to Foods"))</f>
        <v/>
      </c>
      <c r="F141" s="13" t="str">
        <f>IF($C141="","",IFERROR($D141*VLOOKUP($C141,Foods!$A:$E,4,FALSE),"Add to Foods"))</f>
        <v/>
      </c>
      <c r="G141" s="13" t="str">
        <f>IF($C141="","",IFERROR($D141*VLOOKUP($C141,Foods!$A:$E,5,FALSE),"Add to Foods"))</f>
        <v/>
      </c>
      <c r="H141" s="12"/>
      <c r="I141" s="12" t="str">
        <f>IF($C141="","",IF(COUNTIF(Foods!$A:$A,$C141)&gt;0,"Yes","No - add nickname"))</f>
        <v/>
      </c>
    </row>
    <row r="142" ht="15.75" customHeight="1">
      <c r="A142" s="17"/>
      <c r="B142" s="12"/>
      <c r="C142" s="12"/>
      <c r="D142" s="13"/>
      <c r="E142" s="13" t="str">
        <f>IF($C142="","",IFERROR($D142*VLOOKUP($C142,Foods!$A:$E,3,FALSE),"Add to Foods"))</f>
        <v/>
      </c>
      <c r="F142" s="13" t="str">
        <f>IF($C142="","",IFERROR($D142*VLOOKUP($C142,Foods!$A:$E,4,FALSE),"Add to Foods"))</f>
        <v/>
      </c>
      <c r="G142" s="13" t="str">
        <f>IF($C142="","",IFERROR($D142*VLOOKUP($C142,Foods!$A:$E,5,FALSE),"Add to Foods"))</f>
        <v/>
      </c>
      <c r="H142" s="12"/>
      <c r="I142" s="12" t="str">
        <f>IF($C142="","",IF(COUNTIF(Foods!$A:$A,$C142)&gt;0,"Yes","No - add nickname"))</f>
        <v/>
      </c>
    </row>
    <row r="143" ht="15.75" customHeight="1">
      <c r="A143" s="17"/>
      <c r="B143" s="12"/>
      <c r="C143" s="12"/>
      <c r="D143" s="13"/>
      <c r="E143" s="13" t="str">
        <f>IF($C143="","",IFERROR($D143*VLOOKUP($C143,Foods!$A:$E,3,FALSE),"Add to Foods"))</f>
        <v/>
      </c>
      <c r="F143" s="13" t="str">
        <f>IF($C143="","",IFERROR($D143*VLOOKUP($C143,Foods!$A:$E,4,FALSE),"Add to Foods"))</f>
        <v/>
      </c>
      <c r="G143" s="13" t="str">
        <f>IF($C143="","",IFERROR($D143*VLOOKUP($C143,Foods!$A:$E,5,FALSE),"Add to Foods"))</f>
        <v/>
      </c>
      <c r="H143" s="12"/>
      <c r="I143" s="12" t="str">
        <f>IF($C143="","",IF(COUNTIF(Foods!$A:$A,$C143)&gt;0,"Yes","No - add nickname"))</f>
        <v/>
      </c>
    </row>
    <row r="144" ht="15.75" customHeight="1">
      <c r="A144" s="17"/>
      <c r="B144" s="12"/>
      <c r="C144" s="12"/>
      <c r="D144" s="13"/>
      <c r="E144" s="13" t="str">
        <f>IF($C144="","",IFERROR($D144*VLOOKUP($C144,Foods!$A:$E,3,FALSE),"Add to Foods"))</f>
        <v/>
      </c>
      <c r="F144" s="13" t="str">
        <f>IF($C144="","",IFERROR($D144*VLOOKUP($C144,Foods!$A:$E,4,FALSE),"Add to Foods"))</f>
        <v/>
      </c>
      <c r="G144" s="13" t="str">
        <f>IF($C144="","",IFERROR($D144*VLOOKUP($C144,Foods!$A:$E,5,FALSE),"Add to Foods"))</f>
        <v/>
      </c>
      <c r="H144" s="12"/>
      <c r="I144" s="12" t="str">
        <f>IF($C144="","",IF(COUNTIF(Foods!$A:$A,$C144)&gt;0,"Yes","No - add nickname"))</f>
        <v/>
      </c>
    </row>
    <row r="145" ht="15.75" customHeight="1">
      <c r="A145" s="17"/>
      <c r="B145" s="12"/>
      <c r="C145" s="12"/>
      <c r="D145" s="13"/>
      <c r="E145" s="13" t="str">
        <f>IF($C145="","",IFERROR($D145*VLOOKUP($C145,Foods!$A:$E,3,FALSE),"Add to Foods"))</f>
        <v/>
      </c>
      <c r="F145" s="13" t="str">
        <f>IF($C145="","",IFERROR($D145*VLOOKUP($C145,Foods!$A:$E,4,FALSE),"Add to Foods"))</f>
        <v/>
      </c>
      <c r="G145" s="13" t="str">
        <f>IF($C145="","",IFERROR($D145*VLOOKUP($C145,Foods!$A:$E,5,FALSE),"Add to Foods"))</f>
        <v/>
      </c>
      <c r="H145" s="12"/>
      <c r="I145" s="12" t="str">
        <f>IF($C145="","",IF(COUNTIF(Foods!$A:$A,$C145)&gt;0,"Yes","No - add nickname"))</f>
        <v/>
      </c>
    </row>
    <row r="146" ht="15.75" customHeight="1">
      <c r="A146" s="17"/>
      <c r="B146" s="12"/>
      <c r="C146" s="12"/>
      <c r="D146" s="13"/>
      <c r="E146" s="13" t="str">
        <f>IF($C146="","",IFERROR($D146*VLOOKUP($C146,Foods!$A:$E,3,FALSE),"Add to Foods"))</f>
        <v/>
      </c>
      <c r="F146" s="13" t="str">
        <f>IF($C146="","",IFERROR($D146*VLOOKUP($C146,Foods!$A:$E,4,FALSE),"Add to Foods"))</f>
        <v/>
      </c>
      <c r="G146" s="13" t="str">
        <f>IF($C146="","",IFERROR($D146*VLOOKUP($C146,Foods!$A:$E,5,FALSE),"Add to Foods"))</f>
        <v/>
      </c>
      <c r="H146" s="12"/>
      <c r="I146" s="12" t="str">
        <f>IF($C146="","",IF(COUNTIF(Foods!$A:$A,$C146)&gt;0,"Yes","No - add nickname"))</f>
        <v/>
      </c>
    </row>
    <row r="147" ht="15.75" customHeight="1">
      <c r="A147" s="17"/>
      <c r="B147" s="12"/>
      <c r="C147" s="12"/>
      <c r="D147" s="13"/>
      <c r="E147" s="13" t="str">
        <f>IF($C147="","",IFERROR($D147*VLOOKUP($C147,Foods!$A:$E,3,FALSE),"Add to Foods"))</f>
        <v/>
      </c>
      <c r="F147" s="13" t="str">
        <f>IF($C147="","",IFERROR($D147*VLOOKUP($C147,Foods!$A:$E,4,FALSE),"Add to Foods"))</f>
        <v/>
      </c>
      <c r="G147" s="13" t="str">
        <f>IF($C147="","",IFERROR($D147*VLOOKUP($C147,Foods!$A:$E,5,FALSE),"Add to Foods"))</f>
        <v/>
      </c>
      <c r="H147" s="12"/>
      <c r="I147" s="12" t="str">
        <f>IF($C147="","",IF(COUNTIF(Foods!$A:$A,$C147)&gt;0,"Yes","No - add nickname"))</f>
        <v/>
      </c>
    </row>
    <row r="148" ht="15.75" customHeight="1">
      <c r="A148" s="17"/>
      <c r="B148" s="12"/>
      <c r="C148" s="12"/>
      <c r="D148" s="13"/>
      <c r="E148" s="13" t="str">
        <f>IF($C148="","",IFERROR($D148*VLOOKUP($C148,Foods!$A:$E,3,FALSE),"Add to Foods"))</f>
        <v/>
      </c>
      <c r="F148" s="13" t="str">
        <f>IF($C148="","",IFERROR($D148*VLOOKUP($C148,Foods!$A:$E,4,FALSE),"Add to Foods"))</f>
        <v/>
      </c>
      <c r="G148" s="13" t="str">
        <f>IF($C148="","",IFERROR($D148*VLOOKUP($C148,Foods!$A:$E,5,FALSE),"Add to Foods"))</f>
        <v/>
      </c>
      <c r="H148" s="12"/>
      <c r="I148" s="12" t="str">
        <f>IF($C148="","",IF(COUNTIF(Foods!$A:$A,$C148)&gt;0,"Yes","No - add nickname"))</f>
        <v/>
      </c>
    </row>
    <row r="149" ht="15.75" customHeight="1">
      <c r="A149" s="17"/>
      <c r="B149" s="12"/>
      <c r="C149" s="12"/>
      <c r="D149" s="13"/>
      <c r="E149" s="13" t="str">
        <f>IF($C149="","",IFERROR($D149*VLOOKUP($C149,Foods!$A:$E,3,FALSE),"Add to Foods"))</f>
        <v/>
      </c>
      <c r="F149" s="13" t="str">
        <f>IF($C149="","",IFERROR($D149*VLOOKUP($C149,Foods!$A:$E,4,FALSE),"Add to Foods"))</f>
        <v/>
      </c>
      <c r="G149" s="13" t="str">
        <f>IF($C149="","",IFERROR($D149*VLOOKUP($C149,Foods!$A:$E,5,FALSE),"Add to Foods"))</f>
        <v/>
      </c>
      <c r="H149" s="12"/>
      <c r="I149" s="12" t="str">
        <f>IF($C149="","",IF(COUNTIF(Foods!$A:$A,$C149)&gt;0,"Yes","No - add nickname"))</f>
        <v/>
      </c>
    </row>
    <row r="150" ht="15.75" customHeight="1">
      <c r="A150" s="17"/>
      <c r="B150" s="12"/>
      <c r="C150" s="12"/>
      <c r="D150" s="13"/>
      <c r="E150" s="13" t="str">
        <f>IF($C150="","",IFERROR($D150*VLOOKUP($C150,Foods!$A:$E,3,FALSE),"Add to Foods"))</f>
        <v/>
      </c>
      <c r="F150" s="13" t="str">
        <f>IF($C150="","",IFERROR($D150*VLOOKUP($C150,Foods!$A:$E,4,FALSE),"Add to Foods"))</f>
        <v/>
      </c>
      <c r="G150" s="13" t="str">
        <f>IF($C150="","",IFERROR($D150*VLOOKUP($C150,Foods!$A:$E,5,FALSE),"Add to Foods"))</f>
        <v/>
      </c>
      <c r="H150" s="12"/>
      <c r="I150" s="12" t="str">
        <f>IF($C150="","",IF(COUNTIF(Foods!$A:$A,$C150)&gt;0,"Yes","No - add nickname"))</f>
        <v/>
      </c>
    </row>
    <row r="151" ht="15.75" customHeight="1">
      <c r="A151" s="17"/>
      <c r="B151" s="12"/>
      <c r="C151" s="12"/>
      <c r="D151" s="13"/>
      <c r="E151" s="13" t="str">
        <f>IF($C151="","",IFERROR($D151*VLOOKUP($C151,Foods!$A:$E,3,FALSE),"Add to Foods"))</f>
        <v/>
      </c>
      <c r="F151" s="13" t="str">
        <f>IF($C151="","",IFERROR($D151*VLOOKUP($C151,Foods!$A:$E,4,FALSE),"Add to Foods"))</f>
        <v/>
      </c>
      <c r="G151" s="13" t="str">
        <f>IF($C151="","",IFERROR($D151*VLOOKUP($C151,Foods!$A:$E,5,FALSE),"Add to Foods"))</f>
        <v/>
      </c>
      <c r="H151" s="12"/>
      <c r="I151" s="12" t="str">
        <f>IF($C151="","",IF(COUNTIF(Foods!$A:$A,$C151)&gt;0,"Yes","No - add nickname"))</f>
        <v/>
      </c>
    </row>
    <row r="152" ht="15.75" customHeight="1">
      <c r="A152" s="17"/>
      <c r="B152" s="12"/>
      <c r="C152" s="12"/>
      <c r="D152" s="13"/>
      <c r="E152" s="13" t="str">
        <f>IF($C152="","",IFERROR($D152*VLOOKUP($C152,Foods!$A:$E,3,FALSE),"Add to Foods"))</f>
        <v/>
      </c>
      <c r="F152" s="13" t="str">
        <f>IF($C152="","",IFERROR($D152*VLOOKUP($C152,Foods!$A:$E,4,FALSE),"Add to Foods"))</f>
        <v/>
      </c>
      <c r="G152" s="13" t="str">
        <f>IF($C152="","",IFERROR($D152*VLOOKUP($C152,Foods!$A:$E,5,FALSE),"Add to Foods"))</f>
        <v/>
      </c>
      <c r="H152" s="12"/>
      <c r="I152" s="12" t="str">
        <f>IF($C152="","",IF(COUNTIF(Foods!$A:$A,$C152)&gt;0,"Yes","No - add nickname"))</f>
        <v/>
      </c>
    </row>
    <row r="153" ht="15.75" customHeight="1">
      <c r="A153" s="17"/>
      <c r="B153" s="12"/>
      <c r="C153" s="12"/>
      <c r="D153" s="13"/>
      <c r="E153" s="13" t="str">
        <f>IF($C153="","",IFERROR($D153*VLOOKUP($C153,Foods!$A:$E,3,FALSE),"Add to Foods"))</f>
        <v/>
      </c>
      <c r="F153" s="13" t="str">
        <f>IF($C153="","",IFERROR($D153*VLOOKUP($C153,Foods!$A:$E,4,FALSE),"Add to Foods"))</f>
        <v/>
      </c>
      <c r="G153" s="13" t="str">
        <f>IF($C153="","",IFERROR($D153*VLOOKUP($C153,Foods!$A:$E,5,FALSE),"Add to Foods"))</f>
        <v/>
      </c>
      <c r="H153" s="12"/>
      <c r="I153" s="12" t="str">
        <f>IF($C153="","",IF(COUNTIF(Foods!$A:$A,$C153)&gt;0,"Yes","No - add nickname"))</f>
        <v/>
      </c>
    </row>
    <row r="154" ht="15.75" customHeight="1">
      <c r="A154" s="17"/>
      <c r="B154" s="12"/>
      <c r="C154" s="12"/>
      <c r="D154" s="13"/>
      <c r="E154" s="13" t="str">
        <f>IF($C154="","",IFERROR($D154*VLOOKUP($C154,Foods!$A:$E,3,FALSE),"Add to Foods"))</f>
        <v/>
      </c>
      <c r="F154" s="13" t="str">
        <f>IF($C154="","",IFERROR($D154*VLOOKUP($C154,Foods!$A:$E,4,FALSE),"Add to Foods"))</f>
        <v/>
      </c>
      <c r="G154" s="13" t="str">
        <f>IF($C154="","",IFERROR($D154*VLOOKUP($C154,Foods!$A:$E,5,FALSE),"Add to Foods"))</f>
        <v/>
      </c>
      <c r="H154" s="12"/>
      <c r="I154" s="12" t="str">
        <f>IF($C154="","",IF(COUNTIF(Foods!$A:$A,$C154)&gt;0,"Yes","No - add nickname"))</f>
        <v/>
      </c>
    </row>
    <row r="155" ht="15.75" customHeight="1">
      <c r="A155" s="17"/>
      <c r="B155" s="12"/>
      <c r="C155" s="12"/>
      <c r="D155" s="13"/>
      <c r="E155" s="13" t="str">
        <f>IF($C155="","",IFERROR($D155*VLOOKUP($C155,Foods!$A:$E,3,FALSE),"Add to Foods"))</f>
        <v/>
      </c>
      <c r="F155" s="13" t="str">
        <f>IF($C155="","",IFERROR($D155*VLOOKUP($C155,Foods!$A:$E,4,FALSE),"Add to Foods"))</f>
        <v/>
      </c>
      <c r="G155" s="13" t="str">
        <f>IF($C155="","",IFERROR($D155*VLOOKUP($C155,Foods!$A:$E,5,FALSE),"Add to Foods"))</f>
        <v/>
      </c>
      <c r="H155" s="12"/>
      <c r="I155" s="12" t="str">
        <f>IF($C155="","",IF(COUNTIF(Foods!$A:$A,$C155)&gt;0,"Yes","No - add nickname"))</f>
        <v/>
      </c>
    </row>
    <row r="156" ht="15.75" customHeight="1">
      <c r="A156" s="17"/>
      <c r="B156" s="12"/>
      <c r="C156" s="12"/>
      <c r="D156" s="13"/>
      <c r="E156" s="13" t="str">
        <f>IF($C156="","",IFERROR($D156*VLOOKUP($C156,Foods!$A:$E,3,FALSE),"Add to Foods"))</f>
        <v/>
      </c>
      <c r="F156" s="13" t="str">
        <f>IF($C156="","",IFERROR($D156*VLOOKUP($C156,Foods!$A:$E,4,FALSE),"Add to Foods"))</f>
        <v/>
      </c>
      <c r="G156" s="13" t="str">
        <f>IF($C156="","",IFERROR($D156*VLOOKUP($C156,Foods!$A:$E,5,FALSE),"Add to Foods"))</f>
        <v/>
      </c>
      <c r="H156" s="12"/>
      <c r="I156" s="12" t="str">
        <f>IF($C156="","",IF(COUNTIF(Foods!$A:$A,$C156)&gt;0,"Yes","No - add nickname"))</f>
        <v/>
      </c>
    </row>
    <row r="157" ht="15.75" customHeight="1">
      <c r="A157" s="17"/>
      <c r="B157" s="12"/>
      <c r="C157" s="12"/>
      <c r="D157" s="13"/>
      <c r="E157" s="13" t="str">
        <f>IF($C157="","",IFERROR($D157*VLOOKUP($C157,Foods!$A:$E,3,FALSE),"Add to Foods"))</f>
        <v/>
      </c>
      <c r="F157" s="13" t="str">
        <f>IF($C157="","",IFERROR($D157*VLOOKUP($C157,Foods!$A:$E,4,FALSE),"Add to Foods"))</f>
        <v/>
      </c>
      <c r="G157" s="13" t="str">
        <f>IF($C157="","",IFERROR($D157*VLOOKUP($C157,Foods!$A:$E,5,FALSE),"Add to Foods"))</f>
        <v/>
      </c>
      <c r="H157" s="12"/>
      <c r="I157" s="12" t="str">
        <f>IF($C157="","",IF(COUNTIF(Foods!$A:$A,$C157)&gt;0,"Yes","No - add nickname"))</f>
        <v/>
      </c>
    </row>
    <row r="158" ht="15.75" customHeight="1">
      <c r="A158" s="17"/>
      <c r="B158" s="12"/>
      <c r="C158" s="12"/>
      <c r="D158" s="13"/>
      <c r="E158" s="13" t="str">
        <f>IF($C158="","",IFERROR($D158*VLOOKUP($C158,Foods!$A:$E,3,FALSE),"Add to Foods"))</f>
        <v/>
      </c>
      <c r="F158" s="13" t="str">
        <f>IF($C158="","",IFERROR($D158*VLOOKUP($C158,Foods!$A:$E,4,FALSE),"Add to Foods"))</f>
        <v/>
      </c>
      <c r="G158" s="13" t="str">
        <f>IF($C158="","",IFERROR($D158*VLOOKUP($C158,Foods!$A:$E,5,FALSE),"Add to Foods"))</f>
        <v/>
      </c>
      <c r="H158" s="12"/>
      <c r="I158" s="12" t="str">
        <f>IF($C158="","",IF(COUNTIF(Foods!$A:$A,$C158)&gt;0,"Yes","No - add nickname"))</f>
        <v/>
      </c>
    </row>
    <row r="159" ht="15.75" customHeight="1">
      <c r="A159" s="17"/>
      <c r="B159" s="12"/>
      <c r="C159" s="12"/>
      <c r="D159" s="13"/>
      <c r="E159" s="13" t="str">
        <f>IF($C159="","",IFERROR($D159*VLOOKUP($C159,Foods!$A:$E,3,FALSE),"Add to Foods"))</f>
        <v/>
      </c>
      <c r="F159" s="13" t="str">
        <f>IF($C159="","",IFERROR($D159*VLOOKUP($C159,Foods!$A:$E,4,FALSE),"Add to Foods"))</f>
        <v/>
      </c>
      <c r="G159" s="13" t="str">
        <f>IF($C159="","",IFERROR($D159*VLOOKUP($C159,Foods!$A:$E,5,FALSE),"Add to Foods"))</f>
        <v/>
      </c>
      <c r="H159" s="12"/>
      <c r="I159" s="12" t="str">
        <f>IF($C159="","",IF(COUNTIF(Foods!$A:$A,$C159)&gt;0,"Yes","No - add nickname"))</f>
        <v/>
      </c>
    </row>
    <row r="160" ht="15.75" customHeight="1">
      <c r="A160" s="17"/>
      <c r="B160" s="12"/>
      <c r="C160" s="12"/>
      <c r="D160" s="13"/>
      <c r="E160" s="13" t="str">
        <f>IF($C160="","",IFERROR($D160*VLOOKUP($C160,Foods!$A:$E,3,FALSE),"Add to Foods"))</f>
        <v/>
      </c>
      <c r="F160" s="13" t="str">
        <f>IF($C160="","",IFERROR($D160*VLOOKUP($C160,Foods!$A:$E,4,FALSE),"Add to Foods"))</f>
        <v/>
      </c>
      <c r="G160" s="13" t="str">
        <f>IF($C160="","",IFERROR($D160*VLOOKUP($C160,Foods!$A:$E,5,FALSE),"Add to Foods"))</f>
        <v/>
      </c>
      <c r="H160" s="12"/>
      <c r="I160" s="12" t="str">
        <f>IF($C160="","",IF(COUNTIF(Foods!$A:$A,$C160)&gt;0,"Yes","No - add nickname"))</f>
        <v/>
      </c>
    </row>
    <row r="161" ht="15.75" customHeight="1">
      <c r="A161" s="17"/>
      <c r="B161" s="12"/>
      <c r="C161" s="12"/>
      <c r="D161" s="13"/>
      <c r="E161" s="13" t="str">
        <f>IF($C161="","",IFERROR($D161*VLOOKUP($C161,Foods!$A:$E,3,FALSE),"Add to Foods"))</f>
        <v/>
      </c>
      <c r="F161" s="13" t="str">
        <f>IF($C161="","",IFERROR($D161*VLOOKUP($C161,Foods!$A:$E,4,FALSE),"Add to Foods"))</f>
        <v/>
      </c>
      <c r="G161" s="13" t="str">
        <f>IF($C161="","",IFERROR($D161*VLOOKUP($C161,Foods!$A:$E,5,FALSE),"Add to Foods"))</f>
        <v/>
      </c>
      <c r="H161" s="12"/>
      <c r="I161" s="12" t="str">
        <f>IF($C161="","",IF(COUNTIF(Foods!$A:$A,$C161)&gt;0,"Yes","No - add nickname"))</f>
        <v/>
      </c>
    </row>
    <row r="162" ht="15.75" customHeight="1">
      <c r="A162" s="17"/>
      <c r="B162" s="12"/>
      <c r="C162" s="12"/>
      <c r="D162" s="13"/>
      <c r="E162" s="13" t="str">
        <f>IF($C162="","",IFERROR($D162*VLOOKUP($C162,Foods!$A:$E,3,FALSE),"Add to Foods"))</f>
        <v/>
      </c>
      <c r="F162" s="13" t="str">
        <f>IF($C162="","",IFERROR($D162*VLOOKUP($C162,Foods!$A:$E,4,FALSE),"Add to Foods"))</f>
        <v/>
      </c>
      <c r="G162" s="13" t="str">
        <f>IF($C162="","",IFERROR($D162*VLOOKUP($C162,Foods!$A:$E,5,FALSE),"Add to Foods"))</f>
        <v/>
      </c>
      <c r="H162" s="12"/>
      <c r="I162" s="12" t="str">
        <f>IF($C162="","",IF(COUNTIF(Foods!$A:$A,$C162)&gt;0,"Yes","No - add nickname"))</f>
        <v/>
      </c>
    </row>
    <row r="163" ht="15.75" customHeight="1">
      <c r="A163" s="17"/>
      <c r="B163" s="12"/>
      <c r="C163" s="12"/>
      <c r="D163" s="13"/>
      <c r="E163" s="13" t="str">
        <f>IF($C163="","",IFERROR($D163*VLOOKUP($C163,Foods!$A:$E,3,FALSE),"Add to Foods"))</f>
        <v/>
      </c>
      <c r="F163" s="13" t="str">
        <f>IF($C163="","",IFERROR($D163*VLOOKUP($C163,Foods!$A:$E,4,FALSE),"Add to Foods"))</f>
        <v/>
      </c>
      <c r="G163" s="13" t="str">
        <f>IF($C163="","",IFERROR($D163*VLOOKUP($C163,Foods!$A:$E,5,FALSE),"Add to Foods"))</f>
        <v/>
      </c>
      <c r="H163" s="12"/>
      <c r="I163" s="12" t="str">
        <f>IF($C163="","",IF(COUNTIF(Foods!$A:$A,$C163)&gt;0,"Yes","No - add nickname"))</f>
        <v/>
      </c>
    </row>
    <row r="164" ht="15.75" customHeight="1">
      <c r="A164" s="17"/>
      <c r="B164" s="12"/>
      <c r="C164" s="12"/>
      <c r="D164" s="13"/>
      <c r="E164" s="13" t="str">
        <f>IF($C164="","",IFERROR($D164*VLOOKUP($C164,Foods!$A:$E,3,FALSE),"Add to Foods"))</f>
        <v/>
      </c>
      <c r="F164" s="13" t="str">
        <f>IF($C164="","",IFERROR($D164*VLOOKUP($C164,Foods!$A:$E,4,FALSE),"Add to Foods"))</f>
        <v/>
      </c>
      <c r="G164" s="13" t="str">
        <f>IF($C164="","",IFERROR($D164*VLOOKUP($C164,Foods!$A:$E,5,FALSE),"Add to Foods"))</f>
        <v/>
      </c>
      <c r="H164" s="12"/>
      <c r="I164" s="12" t="str">
        <f>IF($C164="","",IF(COUNTIF(Foods!$A:$A,$C164)&gt;0,"Yes","No - add nickname"))</f>
        <v/>
      </c>
    </row>
    <row r="165" ht="15.75" customHeight="1">
      <c r="A165" s="17"/>
      <c r="B165" s="12"/>
      <c r="C165" s="12"/>
      <c r="D165" s="13"/>
      <c r="E165" s="13" t="str">
        <f>IF($C165="","",IFERROR($D165*VLOOKUP($C165,Foods!$A:$E,3,FALSE),"Add to Foods"))</f>
        <v/>
      </c>
      <c r="F165" s="13" t="str">
        <f>IF($C165="","",IFERROR($D165*VLOOKUP($C165,Foods!$A:$E,4,FALSE),"Add to Foods"))</f>
        <v/>
      </c>
      <c r="G165" s="13" t="str">
        <f>IF($C165="","",IFERROR($D165*VLOOKUP($C165,Foods!$A:$E,5,FALSE),"Add to Foods"))</f>
        <v/>
      </c>
      <c r="H165" s="12"/>
      <c r="I165" s="12" t="str">
        <f>IF($C165="","",IF(COUNTIF(Foods!$A:$A,$C165)&gt;0,"Yes","No - add nickname"))</f>
        <v/>
      </c>
    </row>
    <row r="166" ht="15.75" customHeight="1">
      <c r="A166" s="17"/>
      <c r="B166" s="12"/>
      <c r="C166" s="12"/>
      <c r="D166" s="13"/>
      <c r="E166" s="13" t="str">
        <f>IF($C166="","",IFERROR($D166*VLOOKUP($C166,Foods!$A:$E,3,FALSE),"Add to Foods"))</f>
        <v/>
      </c>
      <c r="F166" s="13" t="str">
        <f>IF($C166="","",IFERROR($D166*VLOOKUP($C166,Foods!$A:$E,4,FALSE),"Add to Foods"))</f>
        <v/>
      </c>
      <c r="G166" s="13" t="str">
        <f>IF($C166="","",IFERROR($D166*VLOOKUP($C166,Foods!$A:$E,5,FALSE),"Add to Foods"))</f>
        <v/>
      </c>
      <c r="H166" s="12"/>
      <c r="I166" s="12" t="str">
        <f>IF($C166="","",IF(COUNTIF(Foods!$A:$A,$C166)&gt;0,"Yes","No - add nickname"))</f>
        <v/>
      </c>
    </row>
    <row r="167" ht="15.75" customHeight="1">
      <c r="A167" s="17"/>
      <c r="B167" s="12"/>
      <c r="C167" s="12"/>
      <c r="D167" s="13"/>
      <c r="E167" s="13" t="str">
        <f>IF($C167="","",IFERROR($D167*VLOOKUP($C167,Foods!$A:$E,3,FALSE),"Add to Foods"))</f>
        <v/>
      </c>
      <c r="F167" s="13" t="str">
        <f>IF($C167="","",IFERROR($D167*VLOOKUP($C167,Foods!$A:$E,4,FALSE),"Add to Foods"))</f>
        <v/>
      </c>
      <c r="G167" s="13" t="str">
        <f>IF($C167="","",IFERROR($D167*VLOOKUP($C167,Foods!$A:$E,5,FALSE),"Add to Foods"))</f>
        <v/>
      </c>
      <c r="H167" s="12"/>
      <c r="I167" s="12" t="str">
        <f>IF($C167="","",IF(COUNTIF(Foods!$A:$A,$C167)&gt;0,"Yes","No - add nickname"))</f>
        <v/>
      </c>
    </row>
    <row r="168" ht="15.75" customHeight="1">
      <c r="A168" s="17"/>
      <c r="B168" s="12"/>
      <c r="C168" s="12"/>
      <c r="D168" s="13"/>
      <c r="E168" s="13" t="str">
        <f>IF($C168="","",IFERROR($D168*VLOOKUP($C168,Foods!$A:$E,3,FALSE),"Add to Foods"))</f>
        <v/>
      </c>
      <c r="F168" s="13" t="str">
        <f>IF($C168="","",IFERROR($D168*VLOOKUP($C168,Foods!$A:$E,4,FALSE),"Add to Foods"))</f>
        <v/>
      </c>
      <c r="G168" s="13" t="str">
        <f>IF($C168="","",IFERROR($D168*VLOOKUP($C168,Foods!$A:$E,5,FALSE),"Add to Foods"))</f>
        <v/>
      </c>
      <c r="H168" s="12"/>
      <c r="I168" s="12" t="str">
        <f>IF($C168="","",IF(COUNTIF(Foods!$A:$A,$C168)&gt;0,"Yes","No - add nickname"))</f>
        <v/>
      </c>
    </row>
    <row r="169" ht="15.75" customHeight="1">
      <c r="A169" s="17"/>
      <c r="B169" s="12"/>
      <c r="C169" s="12"/>
      <c r="D169" s="13"/>
      <c r="E169" s="13" t="str">
        <f>IF($C169="","",IFERROR($D169*VLOOKUP($C169,Foods!$A:$E,3,FALSE),"Add to Foods"))</f>
        <v/>
      </c>
      <c r="F169" s="13" t="str">
        <f>IF($C169="","",IFERROR($D169*VLOOKUP($C169,Foods!$A:$E,4,FALSE),"Add to Foods"))</f>
        <v/>
      </c>
      <c r="G169" s="13" t="str">
        <f>IF($C169="","",IFERROR($D169*VLOOKUP($C169,Foods!$A:$E,5,FALSE),"Add to Foods"))</f>
        <v/>
      </c>
      <c r="H169" s="12"/>
      <c r="I169" s="12" t="str">
        <f>IF($C169="","",IF(COUNTIF(Foods!$A:$A,$C169)&gt;0,"Yes","No - add nickname"))</f>
        <v/>
      </c>
    </row>
    <row r="170" ht="15.75" customHeight="1">
      <c r="A170" s="17"/>
      <c r="B170" s="12"/>
      <c r="C170" s="12"/>
      <c r="D170" s="13"/>
      <c r="E170" s="13" t="str">
        <f>IF($C170="","",IFERROR($D170*VLOOKUP($C170,Foods!$A:$E,3,FALSE),"Add to Foods"))</f>
        <v/>
      </c>
      <c r="F170" s="13" t="str">
        <f>IF($C170="","",IFERROR($D170*VLOOKUP($C170,Foods!$A:$E,4,FALSE),"Add to Foods"))</f>
        <v/>
      </c>
      <c r="G170" s="13" t="str">
        <f>IF($C170="","",IFERROR($D170*VLOOKUP($C170,Foods!$A:$E,5,FALSE),"Add to Foods"))</f>
        <v/>
      </c>
      <c r="H170" s="12"/>
      <c r="I170" s="12" t="str">
        <f>IF($C170="","",IF(COUNTIF(Foods!$A:$A,$C170)&gt;0,"Yes","No - add nickname"))</f>
        <v/>
      </c>
    </row>
    <row r="171" ht="15.75" customHeight="1">
      <c r="A171" s="17"/>
      <c r="B171" s="12"/>
      <c r="C171" s="12"/>
      <c r="D171" s="13"/>
      <c r="E171" s="13" t="str">
        <f>IF($C171="","",IFERROR($D171*VLOOKUP($C171,Foods!$A:$E,3,FALSE),"Add to Foods"))</f>
        <v/>
      </c>
      <c r="F171" s="13" t="str">
        <f>IF($C171="","",IFERROR($D171*VLOOKUP($C171,Foods!$A:$E,4,FALSE),"Add to Foods"))</f>
        <v/>
      </c>
      <c r="G171" s="13" t="str">
        <f>IF($C171="","",IFERROR($D171*VLOOKUP($C171,Foods!$A:$E,5,FALSE),"Add to Foods"))</f>
        <v/>
      </c>
      <c r="H171" s="12"/>
      <c r="I171" s="12" t="str">
        <f>IF($C171="","",IF(COUNTIF(Foods!$A:$A,$C171)&gt;0,"Yes","No - add nickname"))</f>
        <v/>
      </c>
    </row>
    <row r="172" ht="15.75" customHeight="1">
      <c r="A172" s="17"/>
      <c r="B172" s="12"/>
      <c r="C172" s="12"/>
      <c r="D172" s="13"/>
      <c r="E172" s="13" t="str">
        <f>IF($C172="","",IFERROR($D172*VLOOKUP($C172,Foods!$A:$E,3,FALSE),"Add to Foods"))</f>
        <v/>
      </c>
      <c r="F172" s="13" t="str">
        <f>IF($C172="","",IFERROR($D172*VLOOKUP($C172,Foods!$A:$E,4,FALSE),"Add to Foods"))</f>
        <v/>
      </c>
      <c r="G172" s="13" t="str">
        <f>IF($C172="","",IFERROR($D172*VLOOKUP($C172,Foods!$A:$E,5,FALSE),"Add to Foods"))</f>
        <v/>
      </c>
      <c r="H172" s="12"/>
      <c r="I172" s="12" t="str">
        <f>IF($C172="","",IF(COUNTIF(Foods!$A:$A,$C172)&gt;0,"Yes","No - add nickname"))</f>
        <v/>
      </c>
    </row>
    <row r="173" ht="15.75" customHeight="1">
      <c r="A173" s="17"/>
      <c r="B173" s="12"/>
      <c r="C173" s="12"/>
      <c r="D173" s="13"/>
      <c r="E173" s="13" t="str">
        <f>IF($C173="","",IFERROR($D173*VLOOKUP($C173,Foods!$A:$E,3,FALSE),"Add to Foods"))</f>
        <v/>
      </c>
      <c r="F173" s="13" t="str">
        <f>IF($C173="","",IFERROR($D173*VLOOKUP($C173,Foods!$A:$E,4,FALSE),"Add to Foods"))</f>
        <v/>
      </c>
      <c r="G173" s="13" t="str">
        <f>IF($C173="","",IFERROR($D173*VLOOKUP($C173,Foods!$A:$E,5,FALSE),"Add to Foods"))</f>
        <v/>
      </c>
      <c r="H173" s="12"/>
      <c r="I173" s="12" t="str">
        <f>IF($C173="","",IF(COUNTIF(Foods!$A:$A,$C173)&gt;0,"Yes","No - add nickname"))</f>
        <v/>
      </c>
    </row>
    <row r="174" ht="15.75" customHeight="1">
      <c r="A174" s="17"/>
      <c r="B174" s="12"/>
      <c r="C174" s="12"/>
      <c r="D174" s="13"/>
      <c r="E174" s="13" t="str">
        <f>IF($C174="","",IFERROR($D174*VLOOKUP($C174,Foods!$A:$E,3,FALSE),"Add to Foods"))</f>
        <v/>
      </c>
      <c r="F174" s="13" t="str">
        <f>IF($C174="","",IFERROR($D174*VLOOKUP($C174,Foods!$A:$E,4,FALSE),"Add to Foods"))</f>
        <v/>
      </c>
      <c r="G174" s="13" t="str">
        <f>IF($C174="","",IFERROR($D174*VLOOKUP($C174,Foods!$A:$E,5,FALSE),"Add to Foods"))</f>
        <v/>
      </c>
      <c r="H174" s="12"/>
      <c r="I174" s="12" t="str">
        <f>IF($C174="","",IF(COUNTIF(Foods!$A:$A,$C174)&gt;0,"Yes","No - add nickname"))</f>
        <v/>
      </c>
    </row>
    <row r="175" ht="15.75" customHeight="1">
      <c r="A175" s="17"/>
      <c r="B175" s="12"/>
      <c r="C175" s="12"/>
      <c r="D175" s="13"/>
      <c r="E175" s="13" t="str">
        <f>IF($C175="","",IFERROR($D175*VLOOKUP($C175,Foods!$A:$E,3,FALSE),"Add to Foods"))</f>
        <v/>
      </c>
      <c r="F175" s="13" t="str">
        <f>IF($C175="","",IFERROR($D175*VLOOKUP($C175,Foods!$A:$E,4,FALSE),"Add to Foods"))</f>
        <v/>
      </c>
      <c r="G175" s="13" t="str">
        <f>IF($C175="","",IFERROR($D175*VLOOKUP($C175,Foods!$A:$E,5,FALSE),"Add to Foods"))</f>
        <v/>
      </c>
      <c r="H175" s="12"/>
      <c r="I175" s="12" t="str">
        <f>IF($C175="","",IF(COUNTIF(Foods!$A:$A,$C175)&gt;0,"Yes","No - add nickname"))</f>
        <v/>
      </c>
    </row>
    <row r="176" ht="15.75" customHeight="1">
      <c r="A176" s="17"/>
      <c r="B176" s="12"/>
      <c r="C176" s="12"/>
      <c r="D176" s="13"/>
      <c r="E176" s="13" t="str">
        <f>IF($C176="","",IFERROR($D176*VLOOKUP($C176,Foods!$A:$E,3,FALSE),"Add to Foods"))</f>
        <v/>
      </c>
      <c r="F176" s="13" t="str">
        <f>IF($C176="","",IFERROR($D176*VLOOKUP($C176,Foods!$A:$E,4,FALSE),"Add to Foods"))</f>
        <v/>
      </c>
      <c r="G176" s="13" t="str">
        <f>IF($C176="","",IFERROR($D176*VLOOKUP($C176,Foods!$A:$E,5,FALSE),"Add to Foods"))</f>
        <v/>
      </c>
      <c r="H176" s="12"/>
      <c r="I176" s="12" t="str">
        <f>IF($C176="","",IF(COUNTIF(Foods!$A:$A,$C176)&gt;0,"Yes","No - add nickname"))</f>
        <v/>
      </c>
    </row>
    <row r="177" ht="15.75" customHeight="1">
      <c r="A177" s="17"/>
      <c r="B177" s="12"/>
      <c r="C177" s="12"/>
      <c r="D177" s="13"/>
      <c r="E177" s="13" t="str">
        <f>IF($C177="","",IFERROR($D177*VLOOKUP($C177,Foods!$A:$E,3,FALSE),"Add to Foods"))</f>
        <v/>
      </c>
      <c r="F177" s="13" t="str">
        <f>IF($C177="","",IFERROR($D177*VLOOKUP($C177,Foods!$A:$E,4,FALSE),"Add to Foods"))</f>
        <v/>
      </c>
      <c r="G177" s="13" t="str">
        <f>IF($C177="","",IFERROR($D177*VLOOKUP($C177,Foods!$A:$E,5,FALSE),"Add to Foods"))</f>
        <v/>
      </c>
      <c r="H177" s="12"/>
      <c r="I177" s="12" t="str">
        <f>IF($C177="","",IF(COUNTIF(Foods!$A:$A,$C177)&gt;0,"Yes","No - add nickname"))</f>
        <v/>
      </c>
    </row>
    <row r="178" ht="15.75" customHeight="1">
      <c r="A178" s="17"/>
      <c r="B178" s="12"/>
      <c r="C178" s="12"/>
      <c r="D178" s="13"/>
      <c r="E178" s="13" t="str">
        <f>IF($C178="","",IFERROR($D178*VLOOKUP($C178,Foods!$A:$E,3,FALSE),"Add to Foods"))</f>
        <v/>
      </c>
      <c r="F178" s="13" t="str">
        <f>IF($C178="","",IFERROR($D178*VLOOKUP($C178,Foods!$A:$E,4,FALSE),"Add to Foods"))</f>
        <v/>
      </c>
      <c r="G178" s="13" t="str">
        <f>IF($C178="","",IFERROR($D178*VLOOKUP($C178,Foods!$A:$E,5,FALSE),"Add to Foods"))</f>
        <v/>
      </c>
      <c r="H178" s="12"/>
      <c r="I178" s="12" t="str">
        <f>IF($C178="","",IF(COUNTIF(Foods!$A:$A,$C178)&gt;0,"Yes","No - add nickname"))</f>
        <v/>
      </c>
    </row>
    <row r="179" ht="15.75" customHeight="1">
      <c r="A179" s="17"/>
      <c r="B179" s="12"/>
      <c r="C179" s="12"/>
      <c r="D179" s="13"/>
      <c r="E179" s="13" t="str">
        <f>IF($C179="","",IFERROR($D179*VLOOKUP($C179,Foods!$A:$E,3,FALSE),"Add to Foods"))</f>
        <v/>
      </c>
      <c r="F179" s="13" t="str">
        <f>IF($C179="","",IFERROR($D179*VLOOKUP($C179,Foods!$A:$E,4,FALSE),"Add to Foods"))</f>
        <v/>
      </c>
      <c r="G179" s="13" t="str">
        <f>IF($C179="","",IFERROR($D179*VLOOKUP($C179,Foods!$A:$E,5,FALSE),"Add to Foods"))</f>
        <v/>
      </c>
      <c r="H179" s="12"/>
      <c r="I179" s="12" t="str">
        <f>IF($C179="","",IF(COUNTIF(Foods!$A:$A,$C179)&gt;0,"Yes","No - add nickname"))</f>
        <v/>
      </c>
    </row>
    <row r="180" ht="15.75" customHeight="1">
      <c r="A180" s="17"/>
      <c r="B180" s="12"/>
      <c r="C180" s="12"/>
      <c r="D180" s="13"/>
      <c r="E180" s="13" t="str">
        <f>IF($C180="","",IFERROR($D180*VLOOKUP($C180,Foods!$A:$E,3,FALSE),"Add to Foods"))</f>
        <v/>
      </c>
      <c r="F180" s="13" t="str">
        <f>IF($C180="","",IFERROR($D180*VLOOKUP($C180,Foods!$A:$E,4,FALSE),"Add to Foods"))</f>
        <v/>
      </c>
      <c r="G180" s="13" t="str">
        <f>IF($C180="","",IFERROR($D180*VLOOKUP($C180,Foods!$A:$E,5,FALSE),"Add to Foods"))</f>
        <v/>
      </c>
      <c r="H180" s="12"/>
      <c r="I180" s="12" t="str">
        <f>IF($C180="","",IF(COUNTIF(Foods!$A:$A,$C180)&gt;0,"Yes","No - add nickname"))</f>
        <v/>
      </c>
    </row>
    <row r="181" ht="15.75" customHeight="1">
      <c r="A181" s="17"/>
      <c r="B181" s="12"/>
      <c r="C181" s="12"/>
      <c r="D181" s="13"/>
      <c r="E181" s="13" t="str">
        <f>IF($C181="","",IFERROR($D181*VLOOKUP($C181,Foods!$A:$E,3,FALSE),"Add to Foods"))</f>
        <v/>
      </c>
      <c r="F181" s="13" t="str">
        <f>IF($C181="","",IFERROR($D181*VLOOKUP($C181,Foods!$A:$E,4,FALSE),"Add to Foods"))</f>
        <v/>
      </c>
      <c r="G181" s="13" t="str">
        <f>IF($C181="","",IFERROR($D181*VLOOKUP($C181,Foods!$A:$E,5,FALSE),"Add to Foods"))</f>
        <v/>
      </c>
      <c r="H181" s="12"/>
      <c r="I181" s="12" t="str">
        <f>IF($C181="","",IF(COUNTIF(Foods!$A:$A,$C181)&gt;0,"Yes","No - add nickname"))</f>
        <v/>
      </c>
    </row>
    <row r="182" ht="15.75" customHeight="1">
      <c r="A182" s="17"/>
      <c r="B182" s="12"/>
      <c r="C182" s="12"/>
      <c r="D182" s="13"/>
      <c r="E182" s="13" t="str">
        <f>IF($C182="","",IFERROR($D182*VLOOKUP($C182,Foods!$A:$E,3,FALSE),"Add to Foods"))</f>
        <v/>
      </c>
      <c r="F182" s="13" t="str">
        <f>IF($C182="","",IFERROR($D182*VLOOKUP($C182,Foods!$A:$E,4,FALSE),"Add to Foods"))</f>
        <v/>
      </c>
      <c r="G182" s="13" t="str">
        <f>IF($C182="","",IFERROR($D182*VLOOKUP($C182,Foods!$A:$E,5,FALSE),"Add to Foods"))</f>
        <v/>
      </c>
      <c r="H182" s="12"/>
      <c r="I182" s="12" t="str">
        <f>IF($C182="","",IF(COUNTIF(Foods!$A:$A,$C182)&gt;0,"Yes","No - add nickname"))</f>
        <v/>
      </c>
    </row>
    <row r="183" ht="15.75" customHeight="1">
      <c r="A183" s="17"/>
      <c r="B183" s="12"/>
      <c r="C183" s="12"/>
      <c r="D183" s="13"/>
      <c r="E183" s="13" t="str">
        <f>IF($C183="","",IFERROR($D183*VLOOKUP($C183,Foods!$A:$E,3,FALSE),"Add to Foods"))</f>
        <v/>
      </c>
      <c r="F183" s="13" t="str">
        <f>IF($C183="","",IFERROR($D183*VLOOKUP($C183,Foods!$A:$E,4,FALSE),"Add to Foods"))</f>
        <v/>
      </c>
      <c r="G183" s="13" t="str">
        <f>IF($C183="","",IFERROR($D183*VLOOKUP($C183,Foods!$A:$E,5,FALSE),"Add to Foods"))</f>
        <v/>
      </c>
      <c r="H183" s="12"/>
      <c r="I183" s="12" t="str">
        <f>IF($C183="","",IF(COUNTIF(Foods!$A:$A,$C183)&gt;0,"Yes","No - add nickname"))</f>
        <v/>
      </c>
    </row>
    <row r="184" ht="15.75" customHeight="1">
      <c r="A184" s="17"/>
      <c r="B184" s="12"/>
      <c r="C184" s="12"/>
      <c r="D184" s="13"/>
      <c r="E184" s="13" t="str">
        <f>IF($C184="","",IFERROR($D184*VLOOKUP($C184,Foods!$A:$E,3,FALSE),"Add to Foods"))</f>
        <v/>
      </c>
      <c r="F184" s="13" t="str">
        <f>IF($C184="","",IFERROR($D184*VLOOKUP($C184,Foods!$A:$E,4,FALSE),"Add to Foods"))</f>
        <v/>
      </c>
      <c r="G184" s="13" t="str">
        <f>IF($C184="","",IFERROR($D184*VLOOKUP($C184,Foods!$A:$E,5,FALSE),"Add to Foods"))</f>
        <v/>
      </c>
      <c r="H184" s="12"/>
      <c r="I184" s="12" t="str">
        <f>IF($C184="","",IF(COUNTIF(Foods!$A:$A,$C184)&gt;0,"Yes","No - add nickname"))</f>
        <v/>
      </c>
    </row>
    <row r="185" ht="15.75" customHeight="1">
      <c r="A185" s="17"/>
      <c r="B185" s="12"/>
      <c r="C185" s="12"/>
      <c r="D185" s="13"/>
      <c r="E185" s="13" t="str">
        <f>IF($C185="","",IFERROR($D185*VLOOKUP($C185,Foods!$A:$E,3,FALSE),"Add to Foods"))</f>
        <v/>
      </c>
      <c r="F185" s="13" t="str">
        <f>IF($C185="","",IFERROR($D185*VLOOKUP($C185,Foods!$A:$E,4,FALSE),"Add to Foods"))</f>
        <v/>
      </c>
      <c r="G185" s="13" t="str">
        <f>IF($C185="","",IFERROR($D185*VLOOKUP($C185,Foods!$A:$E,5,FALSE),"Add to Foods"))</f>
        <v/>
      </c>
      <c r="H185" s="12"/>
      <c r="I185" s="12" t="str">
        <f>IF($C185="","",IF(COUNTIF(Foods!$A:$A,$C185)&gt;0,"Yes","No - add nickname"))</f>
        <v/>
      </c>
    </row>
    <row r="186" ht="15.75" customHeight="1">
      <c r="A186" s="17"/>
      <c r="B186" s="12"/>
      <c r="C186" s="12"/>
      <c r="D186" s="13"/>
      <c r="E186" s="13" t="str">
        <f>IF($C186="","",IFERROR($D186*VLOOKUP($C186,Foods!$A:$E,3,FALSE),"Add to Foods"))</f>
        <v/>
      </c>
      <c r="F186" s="13" t="str">
        <f>IF($C186="","",IFERROR($D186*VLOOKUP($C186,Foods!$A:$E,4,FALSE),"Add to Foods"))</f>
        <v/>
      </c>
      <c r="G186" s="13" t="str">
        <f>IF($C186="","",IFERROR($D186*VLOOKUP($C186,Foods!$A:$E,5,FALSE),"Add to Foods"))</f>
        <v/>
      </c>
      <c r="H186" s="12"/>
      <c r="I186" s="12" t="str">
        <f>IF($C186="","",IF(COUNTIF(Foods!$A:$A,$C186)&gt;0,"Yes","No - add nickname"))</f>
        <v/>
      </c>
    </row>
    <row r="187" ht="15.75" customHeight="1">
      <c r="A187" s="17"/>
      <c r="B187" s="12"/>
      <c r="C187" s="12"/>
      <c r="D187" s="13"/>
      <c r="E187" s="13" t="str">
        <f>IF($C187="","",IFERROR($D187*VLOOKUP($C187,Foods!$A:$E,3,FALSE),"Add to Foods"))</f>
        <v/>
      </c>
      <c r="F187" s="13" t="str">
        <f>IF($C187="","",IFERROR($D187*VLOOKUP($C187,Foods!$A:$E,4,FALSE),"Add to Foods"))</f>
        <v/>
      </c>
      <c r="G187" s="13" t="str">
        <f>IF($C187="","",IFERROR($D187*VLOOKUP($C187,Foods!$A:$E,5,FALSE),"Add to Foods"))</f>
        <v/>
      </c>
      <c r="H187" s="12"/>
      <c r="I187" s="12" t="str">
        <f>IF($C187="","",IF(COUNTIF(Foods!$A:$A,$C187)&gt;0,"Yes","No - add nickname"))</f>
        <v/>
      </c>
    </row>
    <row r="188" ht="15.75" customHeight="1">
      <c r="A188" s="17"/>
      <c r="B188" s="12"/>
      <c r="C188" s="12"/>
      <c r="D188" s="13"/>
      <c r="E188" s="13" t="str">
        <f>IF($C188="","",IFERROR($D188*VLOOKUP($C188,Foods!$A:$E,3,FALSE),"Add to Foods"))</f>
        <v/>
      </c>
      <c r="F188" s="13" t="str">
        <f>IF($C188="","",IFERROR($D188*VLOOKUP($C188,Foods!$A:$E,4,FALSE),"Add to Foods"))</f>
        <v/>
      </c>
      <c r="G188" s="13" t="str">
        <f>IF($C188="","",IFERROR($D188*VLOOKUP($C188,Foods!$A:$E,5,FALSE),"Add to Foods"))</f>
        <v/>
      </c>
      <c r="H188" s="12"/>
      <c r="I188" s="12" t="str">
        <f>IF($C188="","",IF(COUNTIF(Foods!$A:$A,$C188)&gt;0,"Yes","No - add nickname"))</f>
        <v/>
      </c>
    </row>
    <row r="189" ht="15.75" customHeight="1">
      <c r="A189" s="17"/>
      <c r="B189" s="12"/>
      <c r="C189" s="12"/>
      <c r="D189" s="13"/>
      <c r="E189" s="13" t="str">
        <f>IF($C189="","",IFERROR($D189*VLOOKUP($C189,Foods!$A:$E,3,FALSE),"Add to Foods"))</f>
        <v/>
      </c>
      <c r="F189" s="13" t="str">
        <f>IF($C189="","",IFERROR($D189*VLOOKUP($C189,Foods!$A:$E,4,FALSE),"Add to Foods"))</f>
        <v/>
      </c>
      <c r="G189" s="13" t="str">
        <f>IF($C189="","",IFERROR($D189*VLOOKUP($C189,Foods!$A:$E,5,FALSE),"Add to Foods"))</f>
        <v/>
      </c>
      <c r="H189" s="12"/>
      <c r="I189" s="12" t="str">
        <f>IF($C189="","",IF(COUNTIF(Foods!$A:$A,$C189)&gt;0,"Yes","No - add nickname"))</f>
        <v/>
      </c>
    </row>
    <row r="190" ht="15.75" customHeight="1">
      <c r="A190" s="17"/>
      <c r="B190" s="12"/>
      <c r="C190" s="12"/>
      <c r="D190" s="13"/>
      <c r="E190" s="13" t="str">
        <f>IF($C190="","",IFERROR($D190*VLOOKUP($C190,Foods!$A:$E,3,FALSE),"Add to Foods"))</f>
        <v/>
      </c>
      <c r="F190" s="13" t="str">
        <f>IF($C190="","",IFERROR($D190*VLOOKUP($C190,Foods!$A:$E,4,FALSE),"Add to Foods"))</f>
        <v/>
      </c>
      <c r="G190" s="13" t="str">
        <f>IF($C190="","",IFERROR($D190*VLOOKUP($C190,Foods!$A:$E,5,FALSE),"Add to Foods"))</f>
        <v/>
      </c>
      <c r="H190" s="12"/>
      <c r="I190" s="12" t="str">
        <f>IF($C190="","",IF(COUNTIF(Foods!$A:$A,$C190)&gt;0,"Yes","No - add nickname"))</f>
        <v/>
      </c>
    </row>
    <row r="191" ht="15.75" customHeight="1">
      <c r="A191" s="17"/>
      <c r="B191" s="12"/>
      <c r="C191" s="12"/>
      <c r="D191" s="13"/>
      <c r="E191" s="13" t="str">
        <f>IF($C191="","",IFERROR($D191*VLOOKUP($C191,Foods!$A:$E,3,FALSE),"Add to Foods"))</f>
        <v/>
      </c>
      <c r="F191" s="13" t="str">
        <f>IF($C191="","",IFERROR($D191*VLOOKUP($C191,Foods!$A:$E,4,FALSE),"Add to Foods"))</f>
        <v/>
      </c>
      <c r="G191" s="13" t="str">
        <f>IF($C191="","",IFERROR($D191*VLOOKUP($C191,Foods!$A:$E,5,FALSE),"Add to Foods"))</f>
        <v/>
      </c>
      <c r="H191" s="12"/>
      <c r="I191" s="12" t="str">
        <f>IF($C191="","",IF(COUNTIF(Foods!$A:$A,$C191)&gt;0,"Yes","No - add nickname"))</f>
        <v/>
      </c>
    </row>
    <row r="192" ht="15.75" customHeight="1">
      <c r="A192" s="17"/>
      <c r="B192" s="12"/>
      <c r="C192" s="12"/>
      <c r="D192" s="13"/>
      <c r="E192" s="13" t="str">
        <f>IF($C192="","",IFERROR($D192*VLOOKUP($C192,Foods!$A:$E,3,FALSE),"Add to Foods"))</f>
        <v/>
      </c>
      <c r="F192" s="13" t="str">
        <f>IF($C192="","",IFERROR($D192*VLOOKUP($C192,Foods!$A:$E,4,FALSE),"Add to Foods"))</f>
        <v/>
      </c>
      <c r="G192" s="13" t="str">
        <f>IF($C192="","",IFERROR($D192*VLOOKUP($C192,Foods!$A:$E,5,FALSE),"Add to Foods"))</f>
        <v/>
      </c>
      <c r="H192" s="12"/>
      <c r="I192" s="12" t="str">
        <f>IF($C192="","",IF(COUNTIF(Foods!$A:$A,$C192)&gt;0,"Yes","No - add nickname"))</f>
        <v/>
      </c>
    </row>
    <row r="193" ht="15.75" customHeight="1">
      <c r="A193" s="17"/>
      <c r="B193" s="12"/>
      <c r="C193" s="12"/>
      <c r="D193" s="13"/>
      <c r="E193" s="13" t="str">
        <f>IF($C193="","",IFERROR($D193*VLOOKUP($C193,Foods!$A:$E,3,FALSE),"Add to Foods"))</f>
        <v/>
      </c>
      <c r="F193" s="13" t="str">
        <f>IF($C193="","",IFERROR($D193*VLOOKUP($C193,Foods!$A:$E,4,FALSE),"Add to Foods"))</f>
        <v/>
      </c>
      <c r="G193" s="13" t="str">
        <f>IF($C193="","",IFERROR($D193*VLOOKUP($C193,Foods!$A:$E,5,FALSE),"Add to Foods"))</f>
        <v/>
      </c>
      <c r="H193" s="12"/>
      <c r="I193" s="12" t="str">
        <f>IF($C193="","",IF(COUNTIF(Foods!$A:$A,$C193)&gt;0,"Yes","No - add nickname"))</f>
        <v/>
      </c>
    </row>
    <row r="194" ht="15.75" customHeight="1">
      <c r="A194" s="17"/>
      <c r="B194" s="12"/>
      <c r="C194" s="12"/>
      <c r="D194" s="13"/>
      <c r="E194" s="13" t="str">
        <f>IF($C194="","",IFERROR($D194*VLOOKUP($C194,Foods!$A:$E,3,FALSE),"Add to Foods"))</f>
        <v/>
      </c>
      <c r="F194" s="13" t="str">
        <f>IF($C194="","",IFERROR($D194*VLOOKUP($C194,Foods!$A:$E,4,FALSE),"Add to Foods"))</f>
        <v/>
      </c>
      <c r="G194" s="13" t="str">
        <f>IF($C194="","",IFERROR($D194*VLOOKUP($C194,Foods!$A:$E,5,FALSE),"Add to Foods"))</f>
        <v/>
      </c>
      <c r="H194" s="12"/>
      <c r="I194" s="12" t="str">
        <f>IF($C194="","",IF(COUNTIF(Foods!$A:$A,$C194)&gt;0,"Yes","No - add nickname"))</f>
        <v/>
      </c>
    </row>
    <row r="195" ht="15.75" customHeight="1">
      <c r="A195" s="17"/>
      <c r="B195" s="12"/>
      <c r="C195" s="12"/>
      <c r="D195" s="13"/>
      <c r="E195" s="13" t="str">
        <f>IF($C195="","",IFERROR($D195*VLOOKUP($C195,Foods!$A:$E,3,FALSE),"Add to Foods"))</f>
        <v/>
      </c>
      <c r="F195" s="13" t="str">
        <f>IF($C195="","",IFERROR($D195*VLOOKUP($C195,Foods!$A:$E,4,FALSE),"Add to Foods"))</f>
        <v/>
      </c>
      <c r="G195" s="13" t="str">
        <f>IF($C195="","",IFERROR($D195*VLOOKUP($C195,Foods!$A:$E,5,FALSE),"Add to Foods"))</f>
        <v/>
      </c>
      <c r="H195" s="12"/>
      <c r="I195" s="12" t="str">
        <f>IF($C195="","",IF(COUNTIF(Foods!$A:$A,$C195)&gt;0,"Yes","No - add nickname"))</f>
        <v/>
      </c>
    </row>
    <row r="196" ht="15.75" customHeight="1">
      <c r="A196" s="17"/>
      <c r="B196" s="12"/>
      <c r="C196" s="12"/>
      <c r="D196" s="13"/>
      <c r="E196" s="13" t="str">
        <f>IF($C196="","",IFERROR($D196*VLOOKUP($C196,Foods!$A:$E,3,FALSE),"Add to Foods"))</f>
        <v/>
      </c>
      <c r="F196" s="13" t="str">
        <f>IF($C196="","",IFERROR($D196*VLOOKUP($C196,Foods!$A:$E,4,FALSE),"Add to Foods"))</f>
        <v/>
      </c>
      <c r="G196" s="13" t="str">
        <f>IF($C196="","",IFERROR($D196*VLOOKUP($C196,Foods!$A:$E,5,FALSE),"Add to Foods"))</f>
        <v/>
      </c>
      <c r="H196" s="12"/>
      <c r="I196" s="12" t="str">
        <f>IF($C196="","",IF(COUNTIF(Foods!$A:$A,$C196)&gt;0,"Yes","No - add nickname"))</f>
        <v/>
      </c>
    </row>
    <row r="197" ht="15.75" customHeight="1">
      <c r="A197" s="17"/>
      <c r="B197" s="12"/>
      <c r="C197" s="12"/>
      <c r="D197" s="13"/>
      <c r="E197" s="13" t="str">
        <f>IF($C197="","",IFERROR($D197*VLOOKUP($C197,Foods!$A:$E,3,FALSE),"Add to Foods"))</f>
        <v/>
      </c>
      <c r="F197" s="13" t="str">
        <f>IF($C197="","",IFERROR($D197*VLOOKUP($C197,Foods!$A:$E,4,FALSE),"Add to Foods"))</f>
        <v/>
      </c>
      <c r="G197" s="13" t="str">
        <f>IF($C197="","",IFERROR($D197*VLOOKUP($C197,Foods!$A:$E,5,FALSE),"Add to Foods"))</f>
        <v/>
      </c>
      <c r="H197" s="12"/>
      <c r="I197" s="12" t="str">
        <f>IF($C197="","",IF(COUNTIF(Foods!$A:$A,$C197)&gt;0,"Yes","No - add nickname"))</f>
        <v/>
      </c>
    </row>
    <row r="198" ht="15.75" customHeight="1">
      <c r="A198" s="17"/>
      <c r="B198" s="12"/>
      <c r="C198" s="12"/>
      <c r="D198" s="13"/>
      <c r="E198" s="13" t="str">
        <f>IF($C198="","",IFERROR($D198*VLOOKUP($C198,Foods!$A:$E,3,FALSE),"Add to Foods"))</f>
        <v/>
      </c>
      <c r="F198" s="13" t="str">
        <f>IF($C198="","",IFERROR($D198*VLOOKUP($C198,Foods!$A:$E,4,FALSE),"Add to Foods"))</f>
        <v/>
      </c>
      <c r="G198" s="13" t="str">
        <f>IF($C198="","",IFERROR($D198*VLOOKUP($C198,Foods!$A:$E,5,FALSE),"Add to Foods"))</f>
        <v/>
      </c>
      <c r="H198" s="12"/>
      <c r="I198" s="12" t="str">
        <f>IF($C198="","",IF(COUNTIF(Foods!$A:$A,$C198)&gt;0,"Yes","No - add nickname"))</f>
        <v/>
      </c>
    </row>
    <row r="199" ht="15.75" customHeight="1">
      <c r="A199" s="17"/>
      <c r="B199" s="12"/>
      <c r="C199" s="12"/>
      <c r="D199" s="13"/>
      <c r="E199" s="13" t="str">
        <f>IF($C199="","",IFERROR($D199*VLOOKUP($C199,Foods!$A:$E,3,FALSE),"Add to Foods"))</f>
        <v/>
      </c>
      <c r="F199" s="13" t="str">
        <f>IF($C199="","",IFERROR($D199*VLOOKUP($C199,Foods!$A:$E,4,FALSE),"Add to Foods"))</f>
        <v/>
      </c>
      <c r="G199" s="13" t="str">
        <f>IF($C199="","",IFERROR($D199*VLOOKUP($C199,Foods!$A:$E,5,FALSE),"Add to Foods"))</f>
        <v/>
      </c>
      <c r="H199" s="12"/>
      <c r="I199" s="12" t="str">
        <f>IF($C199="","",IF(COUNTIF(Foods!$A:$A,$C199)&gt;0,"Yes","No - add nickname"))</f>
        <v/>
      </c>
    </row>
    <row r="200" ht="15.75" customHeight="1">
      <c r="A200" s="17"/>
      <c r="B200" s="12"/>
      <c r="C200" s="12"/>
      <c r="D200" s="13"/>
      <c r="E200" s="13" t="str">
        <f>IF($C200="","",IFERROR($D200*VLOOKUP($C200,Foods!$A:$E,3,FALSE),"Add to Foods"))</f>
        <v/>
      </c>
      <c r="F200" s="13" t="str">
        <f>IF($C200="","",IFERROR($D200*VLOOKUP($C200,Foods!$A:$E,4,FALSE),"Add to Foods"))</f>
        <v/>
      </c>
      <c r="G200" s="13" t="str">
        <f>IF($C200="","",IFERROR($D200*VLOOKUP($C200,Foods!$A:$E,5,FALSE),"Add to Foods"))</f>
        <v/>
      </c>
      <c r="H200" s="12"/>
      <c r="I200" s="12" t="str">
        <f>IF($C200="","",IF(COUNTIF(Foods!$A:$A,$C200)&gt;0,"Yes","No - add nickname"))</f>
        <v/>
      </c>
    </row>
    <row r="201" ht="15.75" customHeight="1">
      <c r="A201" s="17"/>
      <c r="B201" s="12"/>
      <c r="C201" s="12"/>
      <c r="D201" s="13"/>
      <c r="E201" s="13" t="str">
        <f>IF($C201="","",IFERROR($D201*VLOOKUP($C201,Foods!$A:$E,3,FALSE),"Add to Foods"))</f>
        <v/>
      </c>
      <c r="F201" s="13" t="str">
        <f>IF($C201="","",IFERROR($D201*VLOOKUP($C201,Foods!$A:$E,4,FALSE),"Add to Foods"))</f>
        <v/>
      </c>
      <c r="G201" s="13" t="str">
        <f>IF($C201="","",IFERROR($D201*VLOOKUP($C201,Foods!$A:$E,5,FALSE),"Add to Foods"))</f>
        <v/>
      </c>
      <c r="H201" s="12"/>
      <c r="I201" s="12" t="str">
        <f>IF($C201="","",IF(COUNTIF(Foods!$A:$A,$C201)&gt;0,"Yes","No - add nickname"))</f>
        <v/>
      </c>
    </row>
    <row r="202" ht="15.75" customHeight="1">
      <c r="A202" s="17"/>
      <c r="B202" s="12"/>
      <c r="C202" s="12"/>
      <c r="D202" s="13"/>
      <c r="E202" s="13" t="str">
        <f>IF($C202="","",IFERROR($D202*VLOOKUP($C202,Foods!$A:$E,3,FALSE),"Add to Foods"))</f>
        <v/>
      </c>
      <c r="F202" s="13" t="str">
        <f>IF($C202="","",IFERROR($D202*VLOOKUP($C202,Foods!$A:$E,4,FALSE),"Add to Foods"))</f>
        <v/>
      </c>
      <c r="G202" s="13" t="str">
        <f>IF($C202="","",IFERROR($D202*VLOOKUP($C202,Foods!$A:$E,5,FALSE),"Add to Foods"))</f>
        <v/>
      </c>
      <c r="H202" s="12"/>
      <c r="I202" s="12" t="str">
        <f>IF($C202="","",IF(COUNTIF(Foods!$A:$A,$C202)&gt;0,"Yes","No - add nickname"))</f>
        <v/>
      </c>
    </row>
    <row r="203" ht="15.75" customHeight="1">
      <c r="A203" s="17"/>
      <c r="B203" s="12"/>
      <c r="C203" s="12"/>
      <c r="D203" s="13"/>
      <c r="E203" s="13" t="str">
        <f>IF($C203="","",IFERROR($D203*VLOOKUP($C203,Foods!$A:$E,3,FALSE),"Add to Foods"))</f>
        <v/>
      </c>
      <c r="F203" s="13" t="str">
        <f>IF($C203="","",IFERROR($D203*VLOOKUP($C203,Foods!$A:$E,4,FALSE),"Add to Foods"))</f>
        <v/>
      </c>
      <c r="G203" s="13" t="str">
        <f>IF($C203="","",IFERROR($D203*VLOOKUP($C203,Foods!$A:$E,5,FALSE),"Add to Foods"))</f>
        <v/>
      </c>
      <c r="H203" s="12"/>
      <c r="I203" s="12" t="str">
        <f>IF($C203="","",IF(COUNTIF(Foods!$A:$A,$C203)&gt;0,"Yes","No - add nickname"))</f>
        <v/>
      </c>
    </row>
    <row r="204" ht="15.75" customHeight="1">
      <c r="A204" s="17"/>
      <c r="B204" s="12"/>
      <c r="C204" s="12"/>
      <c r="D204" s="13"/>
      <c r="E204" s="13" t="str">
        <f>IF($C204="","",IFERROR($D204*VLOOKUP($C204,Foods!$A:$E,3,FALSE),"Add to Foods"))</f>
        <v/>
      </c>
      <c r="F204" s="13" t="str">
        <f>IF($C204="","",IFERROR($D204*VLOOKUP($C204,Foods!$A:$E,4,FALSE),"Add to Foods"))</f>
        <v/>
      </c>
      <c r="G204" s="13" t="str">
        <f>IF($C204="","",IFERROR($D204*VLOOKUP($C204,Foods!$A:$E,5,FALSE),"Add to Foods"))</f>
        <v/>
      </c>
      <c r="H204" s="12"/>
      <c r="I204" s="12" t="str">
        <f>IF($C204="","",IF(COUNTIF(Foods!$A:$A,$C204)&gt;0,"Yes","No - add nickname"))</f>
        <v/>
      </c>
    </row>
    <row r="205" ht="15.75" customHeight="1">
      <c r="A205" s="17"/>
      <c r="B205" s="12"/>
      <c r="C205" s="12"/>
      <c r="D205" s="13"/>
      <c r="E205" s="13" t="str">
        <f>IF($C205="","",IFERROR($D205*VLOOKUP($C205,Foods!$A:$E,3,FALSE),"Add to Foods"))</f>
        <v/>
      </c>
      <c r="F205" s="13" t="str">
        <f>IF($C205="","",IFERROR($D205*VLOOKUP($C205,Foods!$A:$E,4,FALSE),"Add to Foods"))</f>
        <v/>
      </c>
      <c r="G205" s="13" t="str">
        <f>IF($C205="","",IFERROR($D205*VLOOKUP($C205,Foods!$A:$E,5,FALSE),"Add to Foods"))</f>
        <v/>
      </c>
      <c r="H205" s="12"/>
      <c r="I205" s="12" t="str">
        <f>IF($C205="","",IF(COUNTIF(Foods!$A:$A,$C205)&gt;0,"Yes","No - add nickname"))</f>
        <v/>
      </c>
    </row>
    <row r="206" ht="15.75" customHeight="1">
      <c r="A206" s="17"/>
      <c r="B206" s="12"/>
      <c r="C206" s="12"/>
      <c r="D206" s="13"/>
      <c r="E206" s="13" t="str">
        <f>IF($C206="","",IFERROR($D206*VLOOKUP($C206,Foods!$A:$E,3,FALSE),"Add to Foods"))</f>
        <v/>
      </c>
      <c r="F206" s="13" t="str">
        <f>IF($C206="","",IFERROR($D206*VLOOKUP($C206,Foods!$A:$E,4,FALSE),"Add to Foods"))</f>
        <v/>
      </c>
      <c r="G206" s="13" t="str">
        <f>IF($C206="","",IFERROR($D206*VLOOKUP($C206,Foods!$A:$E,5,FALSE),"Add to Foods"))</f>
        <v/>
      </c>
      <c r="H206" s="12"/>
      <c r="I206" s="12" t="str">
        <f>IF($C206="","",IF(COUNTIF(Foods!$A:$A,$C206)&gt;0,"Yes","No - add nickname"))</f>
        <v/>
      </c>
    </row>
    <row r="207" ht="15.75" customHeight="1">
      <c r="A207" s="17"/>
      <c r="B207" s="12"/>
      <c r="C207" s="12"/>
      <c r="D207" s="13"/>
      <c r="E207" s="13" t="str">
        <f>IF($C207="","",IFERROR($D207*VLOOKUP($C207,Foods!$A:$E,3,FALSE),"Add to Foods"))</f>
        <v/>
      </c>
      <c r="F207" s="13" t="str">
        <f>IF($C207="","",IFERROR($D207*VLOOKUP($C207,Foods!$A:$E,4,FALSE),"Add to Foods"))</f>
        <v/>
      </c>
      <c r="G207" s="13" t="str">
        <f>IF($C207="","",IFERROR($D207*VLOOKUP($C207,Foods!$A:$E,5,FALSE),"Add to Foods"))</f>
        <v/>
      </c>
      <c r="H207" s="12"/>
      <c r="I207" s="12" t="str">
        <f>IF($C207="","",IF(COUNTIF(Foods!$A:$A,$C207)&gt;0,"Yes","No - add nickname"))</f>
        <v/>
      </c>
    </row>
    <row r="208" ht="15.75" customHeight="1">
      <c r="A208" s="17"/>
      <c r="B208" s="12"/>
      <c r="C208" s="12"/>
      <c r="D208" s="13"/>
      <c r="E208" s="13" t="str">
        <f>IF($C208="","",IFERROR($D208*VLOOKUP($C208,Foods!$A:$E,3,FALSE),"Add to Foods"))</f>
        <v/>
      </c>
      <c r="F208" s="13" t="str">
        <f>IF($C208="","",IFERROR($D208*VLOOKUP($C208,Foods!$A:$E,4,FALSE),"Add to Foods"))</f>
        <v/>
      </c>
      <c r="G208" s="13" t="str">
        <f>IF($C208="","",IFERROR($D208*VLOOKUP($C208,Foods!$A:$E,5,FALSE),"Add to Foods"))</f>
        <v/>
      </c>
      <c r="H208" s="12"/>
      <c r="I208" s="12" t="str">
        <f>IF($C208="","",IF(COUNTIF(Foods!$A:$A,$C208)&gt;0,"Yes","No - add nickname"))</f>
        <v/>
      </c>
    </row>
    <row r="209" ht="15.75" customHeight="1">
      <c r="A209" s="17"/>
      <c r="B209" s="12"/>
      <c r="C209" s="12"/>
      <c r="D209" s="13"/>
      <c r="E209" s="13" t="str">
        <f>IF($C209="","",IFERROR($D209*VLOOKUP($C209,Foods!$A:$E,3,FALSE),"Add to Foods"))</f>
        <v/>
      </c>
      <c r="F209" s="13" t="str">
        <f>IF($C209="","",IFERROR($D209*VLOOKUP($C209,Foods!$A:$E,4,FALSE),"Add to Foods"))</f>
        <v/>
      </c>
      <c r="G209" s="13" t="str">
        <f>IF($C209="","",IFERROR($D209*VLOOKUP($C209,Foods!$A:$E,5,FALSE),"Add to Foods"))</f>
        <v/>
      </c>
      <c r="H209" s="12"/>
      <c r="I209" s="12" t="str">
        <f>IF($C209="","",IF(COUNTIF(Foods!$A:$A,$C209)&gt;0,"Yes","No - add nickname"))</f>
        <v/>
      </c>
    </row>
    <row r="210" ht="15.75" customHeight="1">
      <c r="A210" s="17"/>
      <c r="B210" s="12"/>
      <c r="C210" s="12"/>
      <c r="D210" s="13"/>
      <c r="E210" s="13" t="str">
        <f>IF($C210="","",IFERROR($D210*VLOOKUP($C210,Foods!$A:$E,3,FALSE),"Add to Foods"))</f>
        <v/>
      </c>
      <c r="F210" s="13" t="str">
        <f>IF($C210="","",IFERROR($D210*VLOOKUP($C210,Foods!$A:$E,4,FALSE),"Add to Foods"))</f>
        <v/>
      </c>
      <c r="G210" s="13" t="str">
        <f>IF($C210="","",IFERROR($D210*VLOOKUP($C210,Foods!$A:$E,5,FALSE),"Add to Foods"))</f>
        <v/>
      </c>
      <c r="H210" s="12"/>
      <c r="I210" s="12" t="str">
        <f>IF($C210="","",IF(COUNTIF(Foods!$A:$A,$C210)&gt;0,"Yes","No - add nickname"))</f>
        <v/>
      </c>
    </row>
    <row r="211" ht="15.75" customHeight="1">
      <c r="A211" s="17"/>
      <c r="B211" s="12"/>
      <c r="C211" s="12"/>
      <c r="D211" s="13"/>
      <c r="E211" s="13" t="str">
        <f>IF($C211="","",IFERROR($D211*VLOOKUP($C211,Foods!$A:$E,3,FALSE),"Add to Foods"))</f>
        <v/>
      </c>
      <c r="F211" s="13" t="str">
        <f>IF($C211="","",IFERROR($D211*VLOOKUP($C211,Foods!$A:$E,4,FALSE),"Add to Foods"))</f>
        <v/>
      </c>
      <c r="G211" s="13" t="str">
        <f>IF($C211="","",IFERROR($D211*VLOOKUP($C211,Foods!$A:$E,5,FALSE),"Add to Foods"))</f>
        <v/>
      </c>
      <c r="H211" s="12"/>
      <c r="I211" s="12" t="str">
        <f>IF($C211="","",IF(COUNTIF(Foods!$A:$A,$C211)&gt;0,"Yes","No - add nickname"))</f>
        <v/>
      </c>
    </row>
    <row r="212" ht="15.75" customHeight="1">
      <c r="A212" s="17"/>
      <c r="B212" s="12"/>
      <c r="C212" s="12"/>
      <c r="D212" s="13"/>
      <c r="E212" s="13" t="str">
        <f>IF($C212="","",IFERROR($D212*VLOOKUP($C212,Foods!$A:$E,3,FALSE),"Add to Foods"))</f>
        <v/>
      </c>
      <c r="F212" s="13" t="str">
        <f>IF($C212="","",IFERROR($D212*VLOOKUP($C212,Foods!$A:$E,4,FALSE),"Add to Foods"))</f>
        <v/>
      </c>
      <c r="G212" s="13" t="str">
        <f>IF($C212="","",IFERROR($D212*VLOOKUP($C212,Foods!$A:$E,5,FALSE),"Add to Foods"))</f>
        <v/>
      </c>
      <c r="H212" s="12"/>
      <c r="I212" s="12" t="str">
        <f>IF($C212="","",IF(COUNTIF(Foods!$A:$A,$C212)&gt;0,"Yes","No - add nickname"))</f>
        <v/>
      </c>
    </row>
    <row r="213" ht="15.75" customHeight="1">
      <c r="A213" s="17"/>
      <c r="B213" s="12"/>
      <c r="C213" s="12"/>
      <c r="D213" s="13"/>
      <c r="E213" s="13" t="str">
        <f>IF($C213="","",IFERROR($D213*VLOOKUP($C213,Foods!$A:$E,3,FALSE),"Add to Foods"))</f>
        <v/>
      </c>
      <c r="F213" s="13" t="str">
        <f>IF($C213="","",IFERROR($D213*VLOOKUP($C213,Foods!$A:$E,4,FALSE),"Add to Foods"))</f>
        <v/>
      </c>
      <c r="G213" s="13" t="str">
        <f>IF($C213="","",IFERROR($D213*VLOOKUP($C213,Foods!$A:$E,5,FALSE),"Add to Foods"))</f>
        <v/>
      </c>
      <c r="H213" s="12"/>
      <c r="I213" s="12" t="str">
        <f>IF($C213="","",IF(COUNTIF(Foods!$A:$A,$C213)&gt;0,"Yes","No - add nickname"))</f>
        <v/>
      </c>
    </row>
    <row r="214" ht="15.75" customHeight="1">
      <c r="A214" s="17"/>
      <c r="B214" s="12"/>
      <c r="C214" s="12"/>
      <c r="D214" s="13"/>
      <c r="E214" s="13" t="str">
        <f>IF($C214="","",IFERROR($D214*VLOOKUP($C214,Foods!$A:$E,3,FALSE),"Add to Foods"))</f>
        <v/>
      </c>
      <c r="F214" s="13" t="str">
        <f>IF($C214="","",IFERROR($D214*VLOOKUP($C214,Foods!$A:$E,4,FALSE),"Add to Foods"))</f>
        <v/>
      </c>
      <c r="G214" s="13" t="str">
        <f>IF($C214="","",IFERROR($D214*VLOOKUP($C214,Foods!$A:$E,5,FALSE),"Add to Foods"))</f>
        <v/>
      </c>
      <c r="H214" s="12"/>
      <c r="I214" s="12" t="str">
        <f>IF($C214="","",IF(COUNTIF(Foods!$A:$A,$C214)&gt;0,"Yes","No - add nickname"))</f>
        <v/>
      </c>
    </row>
    <row r="215" ht="15.75" customHeight="1">
      <c r="A215" s="17"/>
      <c r="B215" s="12"/>
      <c r="C215" s="12"/>
      <c r="D215" s="13"/>
      <c r="E215" s="13" t="str">
        <f>IF($C215="","",IFERROR($D215*VLOOKUP($C215,Foods!$A:$E,3,FALSE),"Add to Foods"))</f>
        <v/>
      </c>
      <c r="F215" s="13" t="str">
        <f>IF($C215="","",IFERROR($D215*VLOOKUP($C215,Foods!$A:$E,4,FALSE),"Add to Foods"))</f>
        <v/>
      </c>
      <c r="G215" s="13" t="str">
        <f>IF($C215="","",IFERROR($D215*VLOOKUP($C215,Foods!$A:$E,5,FALSE),"Add to Foods"))</f>
        <v/>
      </c>
      <c r="H215" s="12"/>
      <c r="I215" s="12" t="str">
        <f>IF($C215="","",IF(COUNTIF(Foods!$A:$A,$C215)&gt;0,"Yes","No - add nickname"))</f>
        <v/>
      </c>
    </row>
    <row r="216" ht="15.75" customHeight="1">
      <c r="A216" s="17"/>
      <c r="B216" s="12"/>
      <c r="C216" s="12"/>
      <c r="D216" s="13"/>
      <c r="E216" s="13" t="str">
        <f>IF($C216="","",IFERROR($D216*VLOOKUP($C216,Foods!$A:$E,3,FALSE),"Add to Foods"))</f>
        <v/>
      </c>
      <c r="F216" s="13" t="str">
        <f>IF($C216="","",IFERROR($D216*VLOOKUP($C216,Foods!$A:$E,4,FALSE),"Add to Foods"))</f>
        <v/>
      </c>
      <c r="G216" s="13" t="str">
        <f>IF($C216="","",IFERROR($D216*VLOOKUP($C216,Foods!$A:$E,5,FALSE),"Add to Foods"))</f>
        <v/>
      </c>
      <c r="H216" s="12"/>
      <c r="I216" s="12" t="str">
        <f>IF($C216="","",IF(COUNTIF(Foods!$A:$A,$C216)&gt;0,"Yes","No - add nickname"))</f>
        <v/>
      </c>
    </row>
    <row r="217" ht="15.75" customHeight="1">
      <c r="A217" s="17"/>
      <c r="B217" s="12"/>
      <c r="C217" s="12"/>
      <c r="D217" s="13"/>
      <c r="E217" s="13" t="str">
        <f>IF($C217="","",IFERROR($D217*VLOOKUP($C217,Foods!$A:$E,3,FALSE),"Add to Foods"))</f>
        <v/>
      </c>
      <c r="F217" s="13" t="str">
        <f>IF($C217="","",IFERROR($D217*VLOOKUP($C217,Foods!$A:$E,4,FALSE),"Add to Foods"))</f>
        <v/>
      </c>
      <c r="G217" s="13" t="str">
        <f>IF($C217="","",IFERROR($D217*VLOOKUP($C217,Foods!$A:$E,5,FALSE),"Add to Foods"))</f>
        <v/>
      </c>
      <c r="H217" s="12"/>
      <c r="I217" s="12" t="str">
        <f>IF($C217="","",IF(COUNTIF(Foods!$A:$A,$C217)&gt;0,"Yes","No - add nickname"))</f>
        <v/>
      </c>
    </row>
    <row r="218" ht="15.75" customHeight="1">
      <c r="A218" s="17"/>
      <c r="B218" s="12"/>
      <c r="C218" s="12"/>
      <c r="D218" s="13"/>
      <c r="E218" s="13" t="str">
        <f>IF($C218="","",IFERROR($D218*VLOOKUP($C218,Foods!$A:$E,3,FALSE),"Add to Foods"))</f>
        <v/>
      </c>
      <c r="F218" s="13" t="str">
        <f>IF($C218="","",IFERROR($D218*VLOOKUP($C218,Foods!$A:$E,4,FALSE),"Add to Foods"))</f>
        <v/>
      </c>
      <c r="G218" s="13" t="str">
        <f>IF($C218="","",IFERROR($D218*VLOOKUP($C218,Foods!$A:$E,5,FALSE),"Add to Foods"))</f>
        <v/>
      </c>
      <c r="H218" s="12"/>
      <c r="I218" s="12" t="str">
        <f>IF($C218="","",IF(COUNTIF(Foods!$A:$A,$C218)&gt;0,"Yes","No - add nickname"))</f>
        <v/>
      </c>
    </row>
    <row r="219" ht="15.75" customHeight="1">
      <c r="A219" s="17"/>
      <c r="B219" s="12"/>
      <c r="C219" s="12"/>
      <c r="D219" s="13"/>
      <c r="E219" s="13" t="str">
        <f>IF($C219="","",IFERROR($D219*VLOOKUP($C219,Foods!$A:$E,3,FALSE),"Add to Foods"))</f>
        <v/>
      </c>
      <c r="F219" s="13" t="str">
        <f>IF($C219="","",IFERROR($D219*VLOOKUP($C219,Foods!$A:$E,4,FALSE),"Add to Foods"))</f>
        <v/>
      </c>
      <c r="G219" s="13" t="str">
        <f>IF($C219="","",IFERROR($D219*VLOOKUP($C219,Foods!$A:$E,5,FALSE),"Add to Foods"))</f>
        <v/>
      </c>
      <c r="H219" s="12"/>
      <c r="I219" s="12" t="str">
        <f>IF($C219="","",IF(COUNTIF(Foods!$A:$A,$C219)&gt;0,"Yes","No - add nickname"))</f>
        <v/>
      </c>
    </row>
    <row r="220" ht="15.75" customHeight="1">
      <c r="A220" s="17"/>
      <c r="B220" s="12"/>
      <c r="C220" s="12"/>
      <c r="D220" s="13"/>
      <c r="E220" s="13" t="str">
        <f>IF($C220="","",IFERROR($D220*VLOOKUP($C220,Foods!$A:$E,3,FALSE),"Add to Foods"))</f>
        <v/>
      </c>
      <c r="F220" s="13" t="str">
        <f>IF($C220="","",IFERROR($D220*VLOOKUP($C220,Foods!$A:$E,4,FALSE),"Add to Foods"))</f>
        <v/>
      </c>
      <c r="G220" s="13" t="str">
        <f>IF($C220="","",IFERROR($D220*VLOOKUP($C220,Foods!$A:$E,5,FALSE),"Add to Foods"))</f>
        <v/>
      </c>
      <c r="H220" s="12"/>
      <c r="I220" s="12" t="str">
        <f>IF($C220="","",IF(COUNTIF(Foods!$A:$A,$C220)&gt;0,"Yes","No - add nickname"))</f>
        <v/>
      </c>
    </row>
    <row r="221" ht="15.75" customHeight="1">
      <c r="A221" s="17"/>
      <c r="B221" s="12"/>
      <c r="C221" s="12"/>
      <c r="D221" s="13"/>
      <c r="E221" s="13" t="str">
        <f>IF($C221="","",IFERROR($D221*VLOOKUP($C221,Foods!$A:$E,3,FALSE),"Add to Foods"))</f>
        <v/>
      </c>
      <c r="F221" s="13" t="str">
        <f>IF($C221="","",IFERROR($D221*VLOOKUP($C221,Foods!$A:$E,4,FALSE),"Add to Foods"))</f>
        <v/>
      </c>
      <c r="G221" s="13" t="str">
        <f>IF($C221="","",IFERROR($D221*VLOOKUP($C221,Foods!$A:$E,5,FALSE),"Add to Foods"))</f>
        <v/>
      </c>
      <c r="H221" s="12"/>
      <c r="I221" s="12" t="str">
        <f>IF($C221="","",IF(COUNTIF(Foods!$A:$A,$C221)&gt;0,"Yes","No - add nickname"))</f>
        <v/>
      </c>
    </row>
    <row r="222" ht="15.75" customHeight="1">
      <c r="A222" s="17"/>
      <c r="B222" s="12"/>
      <c r="C222" s="12"/>
      <c r="D222" s="13"/>
      <c r="E222" s="13" t="str">
        <f>IF($C222="","",IFERROR($D222*VLOOKUP($C222,Foods!$A:$E,3,FALSE),"Add to Foods"))</f>
        <v/>
      </c>
      <c r="F222" s="13" t="str">
        <f>IF($C222="","",IFERROR($D222*VLOOKUP($C222,Foods!$A:$E,4,FALSE),"Add to Foods"))</f>
        <v/>
      </c>
      <c r="G222" s="13" t="str">
        <f>IF($C222="","",IFERROR($D222*VLOOKUP($C222,Foods!$A:$E,5,FALSE),"Add to Foods"))</f>
        <v/>
      </c>
      <c r="H222" s="12"/>
      <c r="I222" s="12" t="str">
        <f>IF($C222="","",IF(COUNTIF(Foods!$A:$A,$C222)&gt;0,"Yes","No - add nickname"))</f>
        <v/>
      </c>
    </row>
    <row r="223" ht="15.75" customHeight="1">
      <c r="A223" s="17"/>
      <c r="B223" s="12"/>
      <c r="C223" s="12"/>
      <c r="D223" s="13"/>
      <c r="E223" s="13" t="str">
        <f>IF($C223="","",IFERROR($D223*VLOOKUP($C223,Foods!$A:$E,3,FALSE),"Add to Foods"))</f>
        <v/>
      </c>
      <c r="F223" s="13" t="str">
        <f>IF($C223="","",IFERROR($D223*VLOOKUP($C223,Foods!$A:$E,4,FALSE),"Add to Foods"))</f>
        <v/>
      </c>
      <c r="G223" s="13" t="str">
        <f>IF($C223="","",IFERROR($D223*VLOOKUP($C223,Foods!$A:$E,5,FALSE),"Add to Foods"))</f>
        <v/>
      </c>
      <c r="H223" s="12"/>
      <c r="I223" s="12" t="str">
        <f>IF($C223="","",IF(COUNTIF(Foods!$A:$A,$C223)&gt;0,"Yes","No - add nickname"))</f>
        <v/>
      </c>
    </row>
    <row r="224" ht="15.75" customHeight="1">
      <c r="A224" s="17"/>
      <c r="B224" s="12"/>
      <c r="C224" s="12"/>
      <c r="D224" s="13"/>
      <c r="E224" s="13" t="str">
        <f>IF($C224="","",IFERROR($D224*VLOOKUP($C224,Foods!$A:$E,3,FALSE),"Add to Foods"))</f>
        <v/>
      </c>
      <c r="F224" s="13" t="str">
        <f>IF($C224="","",IFERROR($D224*VLOOKUP($C224,Foods!$A:$E,4,FALSE),"Add to Foods"))</f>
        <v/>
      </c>
      <c r="G224" s="13" t="str">
        <f>IF($C224="","",IFERROR($D224*VLOOKUP($C224,Foods!$A:$E,5,FALSE),"Add to Foods"))</f>
        <v/>
      </c>
      <c r="H224" s="12"/>
      <c r="I224" s="12" t="str">
        <f>IF($C224="","",IF(COUNTIF(Foods!$A:$A,$C224)&gt;0,"Yes","No - add nickname"))</f>
        <v/>
      </c>
    </row>
    <row r="225" ht="15.75" customHeight="1">
      <c r="A225" s="17"/>
      <c r="B225" s="12"/>
      <c r="C225" s="12"/>
      <c r="D225" s="13"/>
      <c r="E225" s="13" t="str">
        <f>IF($C225="","",IFERROR($D225*VLOOKUP($C225,Foods!$A:$E,3,FALSE),"Add to Foods"))</f>
        <v/>
      </c>
      <c r="F225" s="13" t="str">
        <f>IF($C225="","",IFERROR($D225*VLOOKUP($C225,Foods!$A:$E,4,FALSE),"Add to Foods"))</f>
        <v/>
      </c>
      <c r="G225" s="13" t="str">
        <f>IF($C225="","",IFERROR($D225*VLOOKUP($C225,Foods!$A:$E,5,FALSE),"Add to Foods"))</f>
        <v/>
      </c>
      <c r="H225" s="12"/>
      <c r="I225" s="12" t="str">
        <f>IF($C225="","",IF(COUNTIF(Foods!$A:$A,$C225)&gt;0,"Yes","No - add nickname"))</f>
        <v/>
      </c>
    </row>
    <row r="226" ht="15.75" customHeight="1">
      <c r="A226" s="17"/>
      <c r="B226" s="12"/>
      <c r="C226" s="12"/>
      <c r="D226" s="13"/>
      <c r="E226" s="13" t="str">
        <f>IF($C226="","",IFERROR($D226*VLOOKUP($C226,Foods!$A:$E,3,FALSE),"Add to Foods"))</f>
        <v/>
      </c>
      <c r="F226" s="13" t="str">
        <f>IF($C226="","",IFERROR($D226*VLOOKUP($C226,Foods!$A:$E,4,FALSE),"Add to Foods"))</f>
        <v/>
      </c>
      <c r="G226" s="13" t="str">
        <f>IF($C226="","",IFERROR($D226*VLOOKUP($C226,Foods!$A:$E,5,FALSE),"Add to Foods"))</f>
        <v/>
      </c>
      <c r="H226" s="12"/>
      <c r="I226" s="12" t="str">
        <f>IF($C226="","",IF(COUNTIF(Foods!$A:$A,$C226)&gt;0,"Yes","No - add nickname"))</f>
        <v/>
      </c>
    </row>
    <row r="227" ht="15.75" customHeight="1">
      <c r="A227" s="17"/>
      <c r="B227" s="12"/>
      <c r="C227" s="12"/>
      <c r="D227" s="13"/>
      <c r="E227" s="13" t="str">
        <f>IF($C227="","",IFERROR($D227*VLOOKUP($C227,Foods!$A:$E,3,FALSE),"Add to Foods"))</f>
        <v/>
      </c>
      <c r="F227" s="13" t="str">
        <f>IF($C227="","",IFERROR($D227*VLOOKUP($C227,Foods!$A:$E,4,FALSE),"Add to Foods"))</f>
        <v/>
      </c>
      <c r="G227" s="13" t="str">
        <f>IF($C227="","",IFERROR($D227*VLOOKUP($C227,Foods!$A:$E,5,FALSE),"Add to Foods"))</f>
        <v/>
      </c>
      <c r="H227" s="12"/>
      <c r="I227" s="12" t="str">
        <f>IF($C227="","",IF(COUNTIF(Foods!$A:$A,$C227)&gt;0,"Yes","No - add nickname"))</f>
        <v/>
      </c>
    </row>
    <row r="228" ht="15.75" customHeight="1">
      <c r="A228" s="17"/>
      <c r="B228" s="12"/>
      <c r="C228" s="12"/>
      <c r="D228" s="13"/>
      <c r="E228" s="13" t="str">
        <f>IF($C228="","",IFERROR($D228*VLOOKUP($C228,Foods!$A:$E,3,FALSE),"Add to Foods"))</f>
        <v/>
      </c>
      <c r="F228" s="13" t="str">
        <f>IF($C228="","",IFERROR($D228*VLOOKUP($C228,Foods!$A:$E,4,FALSE),"Add to Foods"))</f>
        <v/>
      </c>
      <c r="G228" s="13" t="str">
        <f>IF($C228="","",IFERROR($D228*VLOOKUP($C228,Foods!$A:$E,5,FALSE),"Add to Foods"))</f>
        <v/>
      </c>
      <c r="H228" s="12"/>
      <c r="I228" s="12" t="str">
        <f>IF($C228="","",IF(COUNTIF(Foods!$A:$A,$C228)&gt;0,"Yes","No - add nickname"))</f>
        <v/>
      </c>
    </row>
    <row r="229" ht="15.75" customHeight="1">
      <c r="A229" s="17"/>
      <c r="B229" s="12"/>
      <c r="C229" s="12"/>
      <c r="D229" s="13"/>
      <c r="E229" s="13" t="str">
        <f>IF($C229="","",IFERROR($D229*VLOOKUP($C229,Foods!$A:$E,3,FALSE),"Add to Foods"))</f>
        <v/>
      </c>
      <c r="F229" s="13" t="str">
        <f>IF($C229="","",IFERROR($D229*VLOOKUP($C229,Foods!$A:$E,4,FALSE),"Add to Foods"))</f>
        <v/>
      </c>
      <c r="G229" s="13" t="str">
        <f>IF($C229="","",IFERROR($D229*VLOOKUP($C229,Foods!$A:$E,5,FALSE),"Add to Foods"))</f>
        <v/>
      </c>
      <c r="H229" s="12"/>
      <c r="I229" s="12" t="str">
        <f>IF($C229="","",IF(COUNTIF(Foods!$A:$A,$C229)&gt;0,"Yes","No - add nickname"))</f>
        <v/>
      </c>
    </row>
    <row r="230" ht="15.75" customHeight="1">
      <c r="A230" s="17"/>
      <c r="B230" s="12"/>
      <c r="C230" s="12"/>
      <c r="D230" s="13"/>
      <c r="E230" s="13" t="str">
        <f>IF($C230="","",IFERROR($D230*VLOOKUP($C230,Foods!$A:$E,3,FALSE),"Add to Foods"))</f>
        <v/>
      </c>
      <c r="F230" s="13" t="str">
        <f>IF($C230="","",IFERROR($D230*VLOOKUP($C230,Foods!$A:$E,4,FALSE),"Add to Foods"))</f>
        <v/>
      </c>
      <c r="G230" s="13" t="str">
        <f>IF($C230="","",IFERROR($D230*VLOOKUP($C230,Foods!$A:$E,5,FALSE),"Add to Foods"))</f>
        <v/>
      </c>
      <c r="H230" s="12"/>
      <c r="I230" s="12" t="str">
        <f>IF($C230="","",IF(COUNTIF(Foods!$A:$A,$C230)&gt;0,"Yes","No - add nickname"))</f>
        <v/>
      </c>
    </row>
    <row r="231" ht="15.75" customHeight="1">
      <c r="A231" s="17"/>
      <c r="B231" s="12"/>
      <c r="C231" s="12"/>
      <c r="D231" s="13"/>
      <c r="E231" s="13" t="str">
        <f>IF($C231="","",IFERROR($D231*VLOOKUP($C231,Foods!$A:$E,3,FALSE),"Add to Foods"))</f>
        <v/>
      </c>
      <c r="F231" s="13" t="str">
        <f>IF($C231="","",IFERROR($D231*VLOOKUP($C231,Foods!$A:$E,4,FALSE),"Add to Foods"))</f>
        <v/>
      </c>
      <c r="G231" s="13" t="str">
        <f>IF($C231="","",IFERROR($D231*VLOOKUP($C231,Foods!$A:$E,5,FALSE),"Add to Foods"))</f>
        <v/>
      </c>
      <c r="H231" s="12"/>
      <c r="I231" s="12" t="str">
        <f>IF($C231="","",IF(COUNTIF(Foods!$A:$A,$C231)&gt;0,"Yes","No - add nickname"))</f>
        <v/>
      </c>
    </row>
    <row r="232" ht="15.75" customHeight="1">
      <c r="A232" s="17"/>
      <c r="B232" s="12"/>
      <c r="C232" s="12"/>
      <c r="D232" s="13"/>
      <c r="E232" s="13" t="str">
        <f>IF($C232="","",IFERROR($D232*VLOOKUP($C232,Foods!$A:$E,3,FALSE),"Add to Foods"))</f>
        <v/>
      </c>
      <c r="F232" s="13" t="str">
        <f>IF($C232="","",IFERROR($D232*VLOOKUP($C232,Foods!$A:$E,4,FALSE),"Add to Foods"))</f>
        <v/>
      </c>
      <c r="G232" s="13" t="str">
        <f>IF($C232="","",IFERROR($D232*VLOOKUP($C232,Foods!$A:$E,5,FALSE),"Add to Foods"))</f>
        <v/>
      </c>
      <c r="H232" s="12"/>
      <c r="I232" s="12" t="str">
        <f>IF($C232="","",IF(COUNTIF(Foods!$A:$A,$C232)&gt;0,"Yes","No - add nickname"))</f>
        <v/>
      </c>
    </row>
    <row r="233" ht="15.75" customHeight="1">
      <c r="A233" s="17"/>
      <c r="B233" s="12"/>
      <c r="C233" s="12"/>
      <c r="D233" s="13"/>
      <c r="E233" s="13" t="str">
        <f>IF($C233="","",IFERROR($D233*VLOOKUP($C233,Foods!$A:$E,3,FALSE),"Add to Foods"))</f>
        <v/>
      </c>
      <c r="F233" s="13" t="str">
        <f>IF($C233="","",IFERROR($D233*VLOOKUP($C233,Foods!$A:$E,4,FALSE),"Add to Foods"))</f>
        <v/>
      </c>
      <c r="G233" s="13" t="str">
        <f>IF($C233="","",IFERROR($D233*VLOOKUP($C233,Foods!$A:$E,5,FALSE),"Add to Foods"))</f>
        <v/>
      </c>
      <c r="H233" s="12"/>
      <c r="I233" s="12" t="str">
        <f>IF($C233="","",IF(COUNTIF(Foods!$A:$A,$C233)&gt;0,"Yes","No - add nickname"))</f>
        <v/>
      </c>
    </row>
    <row r="234" ht="15.75" customHeight="1">
      <c r="A234" s="17"/>
      <c r="B234" s="12"/>
      <c r="C234" s="12"/>
      <c r="D234" s="13"/>
      <c r="E234" s="13" t="str">
        <f>IF($C234="","",IFERROR($D234*VLOOKUP($C234,Foods!$A:$E,3,FALSE),"Add to Foods"))</f>
        <v/>
      </c>
      <c r="F234" s="13" t="str">
        <f>IF($C234="","",IFERROR($D234*VLOOKUP($C234,Foods!$A:$E,4,FALSE),"Add to Foods"))</f>
        <v/>
      </c>
      <c r="G234" s="13" t="str">
        <f>IF($C234="","",IFERROR($D234*VLOOKUP($C234,Foods!$A:$E,5,FALSE),"Add to Foods"))</f>
        <v/>
      </c>
      <c r="H234" s="12"/>
      <c r="I234" s="12" t="str">
        <f>IF($C234="","",IF(COUNTIF(Foods!$A:$A,$C234)&gt;0,"Yes","No - add nickname"))</f>
        <v/>
      </c>
    </row>
    <row r="235" ht="15.75" customHeight="1">
      <c r="A235" s="17"/>
      <c r="B235" s="12"/>
      <c r="C235" s="12"/>
      <c r="D235" s="13"/>
      <c r="E235" s="13" t="str">
        <f>IF($C235="","",IFERROR($D235*VLOOKUP($C235,Foods!$A:$E,3,FALSE),"Add to Foods"))</f>
        <v/>
      </c>
      <c r="F235" s="13" t="str">
        <f>IF($C235="","",IFERROR($D235*VLOOKUP($C235,Foods!$A:$E,4,FALSE),"Add to Foods"))</f>
        <v/>
      </c>
      <c r="G235" s="13" t="str">
        <f>IF($C235="","",IFERROR($D235*VLOOKUP($C235,Foods!$A:$E,5,FALSE),"Add to Foods"))</f>
        <v/>
      </c>
      <c r="H235" s="12"/>
      <c r="I235" s="12" t="str">
        <f>IF($C235="","",IF(COUNTIF(Foods!$A:$A,$C235)&gt;0,"Yes","No - add nickname"))</f>
        <v/>
      </c>
    </row>
    <row r="236" ht="15.75" customHeight="1">
      <c r="A236" s="17"/>
      <c r="B236" s="12"/>
      <c r="C236" s="12"/>
      <c r="D236" s="13"/>
      <c r="E236" s="13" t="str">
        <f>IF($C236="","",IFERROR($D236*VLOOKUP($C236,Foods!$A:$E,3,FALSE),"Add to Foods"))</f>
        <v/>
      </c>
      <c r="F236" s="13" t="str">
        <f>IF($C236="","",IFERROR($D236*VLOOKUP($C236,Foods!$A:$E,4,FALSE),"Add to Foods"))</f>
        <v/>
      </c>
      <c r="G236" s="13" t="str">
        <f>IF($C236="","",IFERROR($D236*VLOOKUP($C236,Foods!$A:$E,5,FALSE),"Add to Foods"))</f>
        <v/>
      </c>
      <c r="H236" s="12"/>
      <c r="I236" s="12" t="str">
        <f>IF($C236="","",IF(COUNTIF(Foods!$A:$A,$C236)&gt;0,"Yes","No - add nickname"))</f>
        <v/>
      </c>
    </row>
    <row r="237" ht="15.75" customHeight="1">
      <c r="A237" s="17"/>
      <c r="B237" s="12"/>
      <c r="C237" s="12"/>
      <c r="D237" s="13"/>
      <c r="E237" s="13" t="str">
        <f>IF($C237="","",IFERROR($D237*VLOOKUP($C237,Foods!$A:$E,3,FALSE),"Add to Foods"))</f>
        <v/>
      </c>
      <c r="F237" s="13" t="str">
        <f>IF($C237="","",IFERROR($D237*VLOOKUP($C237,Foods!$A:$E,4,FALSE),"Add to Foods"))</f>
        <v/>
      </c>
      <c r="G237" s="13" t="str">
        <f>IF($C237="","",IFERROR($D237*VLOOKUP($C237,Foods!$A:$E,5,FALSE),"Add to Foods"))</f>
        <v/>
      </c>
      <c r="H237" s="12"/>
      <c r="I237" s="12" t="str">
        <f>IF($C237="","",IF(COUNTIF(Foods!$A:$A,$C237)&gt;0,"Yes","No - add nickname"))</f>
        <v/>
      </c>
    </row>
    <row r="238" ht="15.75" customHeight="1">
      <c r="A238" s="17"/>
      <c r="B238" s="12"/>
      <c r="C238" s="12"/>
      <c r="D238" s="13"/>
      <c r="E238" s="13" t="str">
        <f>IF($C238="","",IFERROR($D238*VLOOKUP($C238,Foods!$A:$E,3,FALSE),"Add to Foods"))</f>
        <v/>
      </c>
      <c r="F238" s="13" t="str">
        <f>IF($C238="","",IFERROR($D238*VLOOKUP($C238,Foods!$A:$E,4,FALSE),"Add to Foods"))</f>
        <v/>
      </c>
      <c r="G238" s="13" t="str">
        <f>IF($C238="","",IFERROR($D238*VLOOKUP($C238,Foods!$A:$E,5,FALSE),"Add to Foods"))</f>
        <v/>
      </c>
      <c r="H238" s="12"/>
      <c r="I238" s="12" t="str">
        <f>IF($C238="","",IF(COUNTIF(Foods!$A:$A,$C238)&gt;0,"Yes","No - add nickname"))</f>
        <v/>
      </c>
    </row>
    <row r="239" ht="15.75" customHeight="1">
      <c r="A239" s="17"/>
      <c r="B239" s="12"/>
      <c r="C239" s="12"/>
      <c r="D239" s="13"/>
      <c r="E239" s="13" t="str">
        <f>IF($C239="","",IFERROR($D239*VLOOKUP($C239,Foods!$A:$E,3,FALSE),"Add to Foods"))</f>
        <v/>
      </c>
      <c r="F239" s="13" t="str">
        <f>IF($C239="","",IFERROR($D239*VLOOKUP($C239,Foods!$A:$E,4,FALSE),"Add to Foods"))</f>
        <v/>
      </c>
      <c r="G239" s="13" t="str">
        <f>IF($C239="","",IFERROR($D239*VLOOKUP($C239,Foods!$A:$E,5,FALSE),"Add to Foods"))</f>
        <v/>
      </c>
      <c r="H239" s="12"/>
      <c r="I239" s="12" t="str">
        <f>IF($C239="","",IF(COUNTIF(Foods!$A:$A,$C239)&gt;0,"Yes","No - add nickname"))</f>
        <v/>
      </c>
    </row>
    <row r="240" ht="15.75" customHeight="1">
      <c r="A240" s="17"/>
      <c r="B240" s="12"/>
      <c r="C240" s="12"/>
      <c r="D240" s="13"/>
      <c r="E240" s="13" t="str">
        <f>IF($C240="","",IFERROR($D240*VLOOKUP($C240,Foods!$A:$E,3,FALSE),"Add to Foods"))</f>
        <v/>
      </c>
      <c r="F240" s="13" t="str">
        <f>IF($C240="","",IFERROR($D240*VLOOKUP($C240,Foods!$A:$E,4,FALSE),"Add to Foods"))</f>
        <v/>
      </c>
      <c r="G240" s="13" t="str">
        <f>IF($C240="","",IFERROR($D240*VLOOKUP($C240,Foods!$A:$E,5,FALSE),"Add to Foods"))</f>
        <v/>
      </c>
      <c r="H240" s="12"/>
      <c r="I240" s="12" t="str">
        <f>IF($C240="","",IF(COUNTIF(Foods!$A:$A,$C240)&gt;0,"Yes","No - add nickname"))</f>
        <v/>
      </c>
    </row>
    <row r="241" ht="15.75" customHeight="1">
      <c r="A241" s="17"/>
      <c r="B241" s="12"/>
      <c r="C241" s="12"/>
      <c r="D241" s="13"/>
      <c r="E241" s="13" t="str">
        <f>IF($C241="","",IFERROR($D241*VLOOKUP($C241,Foods!$A:$E,3,FALSE),"Add to Foods"))</f>
        <v/>
      </c>
      <c r="F241" s="13" t="str">
        <f>IF($C241="","",IFERROR($D241*VLOOKUP($C241,Foods!$A:$E,4,FALSE),"Add to Foods"))</f>
        <v/>
      </c>
      <c r="G241" s="13" t="str">
        <f>IF($C241="","",IFERROR($D241*VLOOKUP($C241,Foods!$A:$E,5,FALSE),"Add to Foods"))</f>
        <v/>
      </c>
      <c r="H241" s="12"/>
      <c r="I241" s="12" t="str">
        <f>IF($C241="","",IF(COUNTIF(Foods!$A:$A,$C241)&gt;0,"Yes","No - add nickname"))</f>
        <v/>
      </c>
    </row>
    <row r="242" ht="15.75" customHeight="1">
      <c r="A242" s="17"/>
      <c r="B242" s="12"/>
      <c r="C242" s="12"/>
      <c r="D242" s="13"/>
      <c r="E242" s="13" t="str">
        <f>IF($C242="","",IFERROR($D242*VLOOKUP($C242,Foods!$A:$E,3,FALSE),"Add to Foods"))</f>
        <v/>
      </c>
      <c r="F242" s="13" t="str">
        <f>IF($C242="","",IFERROR($D242*VLOOKUP($C242,Foods!$A:$E,4,FALSE),"Add to Foods"))</f>
        <v/>
      </c>
      <c r="G242" s="13" t="str">
        <f>IF($C242="","",IFERROR($D242*VLOOKUP($C242,Foods!$A:$E,5,FALSE),"Add to Foods"))</f>
        <v/>
      </c>
      <c r="H242" s="12"/>
      <c r="I242" s="12" t="str">
        <f>IF($C242="","",IF(COUNTIF(Foods!$A:$A,$C242)&gt;0,"Yes","No - add nickname"))</f>
        <v/>
      </c>
    </row>
    <row r="243" ht="15.75" customHeight="1">
      <c r="A243" s="17"/>
      <c r="B243" s="12"/>
      <c r="C243" s="12"/>
      <c r="D243" s="13"/>
      <c r="E243" s="13" t="str">
        <f>IF($C243="","",IFERROR($D243*VLOOKUP($C243,Foods!$A:$E,3,FALSE),"Add to Foods"))</f>
        <v/>
      </c>
      <c r="F243" s="13" t="str">
        <f>IF($C243="","",IFERROR($D243*VLOOKUP($C243,Foods!$A:$E,4,FALSE),"Add to Foods"))</f>
        <v/>
      </c>
      <c r="G243" s="13" t="str">
        <f>IF($C243="","",IFERROR($D243*VLOOKUP($C243,Foods!$A:$E,5,FALSE),"Add to Foods"))</f>
        <v/>
      </c>
      <c r="H243" s="12"/>
      <c r="I243" s="12" t="str">
        <f>IF($C243="","",IF(COUNTIF(Foods!$A:$A,$C243)&gt;0,"Yes","No - add nickname"))</f>
        <v/>
      </c>
    </row>
    <row r="244" ht="15.75" customHeight="1">
      <c r="A244" s="17"/>
      <c r="B244" s="12"/>
      <c r="C244" s="12"/>
      <c r="D244" s="13"/>
      <c r="E244" s="13" t="str">
        <f>IF($C244="","",IFERROR($D244*VLOOKUP($C244,Foods!$A:$E,3,FALSE),"Add to Foods"))</f>
        <v/>
      </c>
      <c r="F244" s="13" t="str">
        <f>IF($C244="","",IFERROR($D244*VLOOKUP($C244,Foods!$A:$E,4,FALSE),"Add to Foods"))</f>
        <v/>
      </c>
      <c r="G244" s="13" t="str">
        <f>IF($C244="","",IFERROR($D244*VLOOKUP($C244,Foods!$A:$E,5,FALSE),"Add to Foods"))</f>
        <v/>
      </c>
      <c r="H244" s="12"/>
      <c r="I244" s="12" t="str">
        <f>IF($C244="","",IF(COUNTIF(Foods!$A:$A,$C244)&gt;0,"Yes","No - add nickname"))</f>
        <v/>
      </c>
    </row>
    <row r="245" ht="15.75" customHeight="1">
      <c r="A245" s="17"/>
      <c r="B245" s="12"/>
      <c r="C245" s="12"/>
      <c r="D245" s="13"/>
      <c r="E245" s="13" t="str">
        <f>IF($C245="","",IFERROR($D245*VLOOKUP($C245,Foods!$A:$E,3,FALSE),"Add to Foods"))</f>
        <v/>
      </c>
      <c r="F245" s="13" t="str">
        <f>IF($C245="","",IFERROR($D245*VLOOKUP($C245,Foods!$A:$E,4,FALSE),"Add to Foods"))</f>
        <v/>
      </c>
      <c r="G245" s="13" t="str">
        <f>IF($C245="","",IFERROR($D245*VLOOKUP($C245,Foods!$A:$E,5,FALSE),"Add to Foods"))</f>
        <v/>
      </c>
      <c r="H245" s="12"/>
      <c r="I245" s="12" t="str">
        <f>IF($C245="","",IF(COUNTIF(Foods!$A:$A,$C245)&gt;0,"Yes","No - add nickname"))</f>
        <v/>
      </c>
    </row>
    <row r="246" ht="15.75" customHeight="1">
      <c r="A246" s="17"/>
      <c r="B246" s="12"/>
      <c r="C246" s="12"/>
      <c r="D246" s="13"/>
      <c r="E246" s="13" t="str">
        <f>IF($C246="","",IFERROR($D246*VLOOKUP($C246,Foods!$A:$E,3,FALSE),"Add to Foods"))</f>
        <v/>
      </c>
      <c r="F246" s="13" t="str">
        <f>IF($C246="","",IFERROR($D246*VLOOKUP($C246,Foods!$A:$E,4,FALSE),"Add to Foods"))</f>
        <v/>
      </c>
      <c r="G246" s="13" t="str">
        <f>IF($C246="","",IFERROR($D246*VLOOKUP($C246,Foods!$A:$E,5,FALSE),"Add to Foods"))</f>
        <v/>
      </c>
      <c r="H246" s="12"/>
      <c r="I246" s="12" t="str">
        <f>IF($C246="","",IF(COUNTIF(Foods!$A:$A,$C246)&gt;0,"Yes","No - add nickname"))</f>
        <v/>
      </c>
    </row>
    <row r="247" ht="15.75" customHeight="1">
      <c r="A247" s="17"/>
      <c r="B247" s="12"/>
      <c r="C247" s="12"/>
      <c r="D247" s="13"/>
      <c r="E247" s="13" t="str">
        <f>IF($C247="","",IFERROR($D247*VLOOKUP($C247,Foods!$A:$E,3,FALSE),"Add to Foods"))</f>
        <v/>
      </c>
      <c r="F247" s="13" t="str">
        <f>IF($C247="","",IFERROR($D247*VLOOKUP($C247,Foods!$A:$E,4,FALSE),"Add to Foods"))</f>
        <v/>
      </c>
      <c r="G247" s="13" t="str">
        <f>IF($C247="","",IFERROR($D247*VLOOKUP($C247,Foods!$A:$E,5,FALSE),"Add to Foods"))</f>
        <v/>
      </c>
      <c r="H247" s="12"/>
      <c r="I247" s="12" t="str">
        <f>IF($C247="","",IF(COUNTIF(Foods!$A:$A,$C247)&gt;0,"Yes","No - add nickname"))</f>
        <v/>
      </c>
    </row>
    <row r="248" ht="15.75" customHeight="1">
      <c r="A248" s="17"/>
      <c r="B248" s="12"/>
      <c r="C248" s="12"/>
      <c r="D248" s="13"/>
      <c r="E248" s="13" t="str">
        <f>IF($C248="","",IFERROR($D248*VLOOKUP($C248,Foods!$A:$E,3,FALSE),"Add to Foods"))</f>
        <v/>
      </c>
      <c r="F248" s="13" t="str">
        <f>IF($C248="","",IFERROR($D248*VLOOKUP($C248,Foods!$A:$E,4,FALSE),"Add to Foods"))</f>
        <v/>
      </c>
      <c r="G248" s="13" t="str">
        <f>IF($C248="","",IFERROR($D248*VLOOKUP($C248,Foods!$A:$E,5,FALSE),"Add to Foods"))</f>
        <v/>
      </c>
      <c r="H248" s="12"/>
      <c r="I248" s="12" t="str">
        <f>IF($C248="","",IF(COUNTIF(Foods!$A:$A,$C248)&gt;0,"Yes","No - add nickname"))</f>
        <v/>
      </c>
    </row>
    <row r="249" ht="15.75" customHeight="1">
      <c r="A249" s="17"/>
      <c r="B249" s="12"/>
      <c r="C249" s="12"/>
      <c r="D249" s="13"/>
      <c r="E249" s="13" t="str">
        <f>IF($C249="","",IFERROR($D249*VLOOKUP($C249,Foods!$A:$E,3,FALSE),"Add to Foods"))</f>
        <v/>
      </c>
      <c r="F249" s="13" t="str">
        <f>IF($C249="","",IFERROR($D249*VLOOKUP($C249,Foods!$A:$E,4,FALSE),"Add to Foods"))</f>
        <v/>
      </c>
      <c r="G249" s="13" t="str">
        <f>IF($C249="","",IFERROR($D249*VLOOKUP($C249,Foods!$A:$E,5,FALSE),"Add to Foods"))</f>
        <v/>
      </c>
      <c r="H249" s="12"/>
      <c r="I249" s="12" t="str">
        <f>IF($C249="","",IF(COUNTIF(Foods!$A:$A,$C249)&gt;0,"Yes","No - add nickname"))</f>
        <v/>
      </c>
    </row>
    <row r="250" ht="15.75" customHeight="1">
      <c r="A250" s="17"/>
      <c r="B250" s="12"/>
      <c r="C250" s="12"/>
      <c r="D250" s="13"/>
      <c r="E250" s="13" t="str">
        <f>IF($C250="","",IFERROR($D250*VLOOKUP($C250,Foods!$A:$E,3,FALSE),"Add to Foods"))</f>
        <v/>
      </c>
      <c r="F250" s="13" t="str">
        <f>IF($C250="","",IFERROR($D250*VLOOKUP($C250,Foods!$A:$E,4,FALSE),"Add to Foods"))</f>
        <v/>
      </c>
      <c r="G250" s="13" t="str">
        <f>IF($C250="","",IFERROR($D250*VLOOKUP($C250,Foods!$A:$E,5,FALSE),"Add to Foods"))</f>
        <v/>
      </c>
      <c r="H250" s="12"/>
      <c r="I250" s="12" t="str">
        <f>IF($C250="","",IF(COUNTIF(Foods!$A:$A,$C250)&gt;0,"Yes","No - add nickname"))</f>
        <v/>
      </c>
    </row>
    <row r="251" ht="15.75" customHeight="1">
      <c r="A251" s="17"/>
      <c r="B251" s="12"/>
      <c r="C251" s="12"/>
      <c r="D251" s="13"/>
      <c r="E251" s="13" t="str">
        <f>IF($C251="","",IFERROR($D251*VLOOKUP($C251,Foods!$A:$E,3,FALSE),"Add to Foods"))</f>
        <v/>
      </c>
      <c r="F251" s="13" t="str">
        <f>IF($C251="","",IFERROR($D251*VLOOKUP($C251,Foods!$A:$E,4,FALSE),"Add to Foods"))</f>
        <v/>
      </c>
      <c r="G251" s="13" t="str">
        <f>IF($C251="","",IFERROR($D251*VLOOKUP($C251,Foods!$A:$E,5,FALSE),"Add to Foods"))</f>
        <v/>
      </c>
      <c r="H251" s="12"/>
      <c r="I251" s="12" t="str">
        <f>IF($C251="","",IF(COUNTIF(Foods!$A:$A,$C251)&gt;0,"Yes","No - add nickname"))</f>
        <v/>
      </c>
    </row>
    <row r="252" ht="15.75" customHeight="1">
      <c r="A252" s="17"/>
      <c r="B252" s="12"/>
      <c r="C252" s="12"/>
      <c r="D252" s="13"/>
      <c r="E252" s="13" t="str">
        <f>IF($C252="","",IFERROR($D252*VLOOKUP($C252,Foods!$A:$E,3,FALSE),"Add to Foods"))</f>
        <v/>
      </c>
      <c r="F252" s="13" t="str">
        <f>IF($C252="","",IFERROR($D252*VLOOKUP($C252,Foods!$A:$E,4,FALSE),"Add to Foods"))</f>
        <v/>
      </c>
      <c r="G252" s="13" t="str">
        <f>IF($C252="","",IFERROR($D252*VLOOKUP($C252,Foods!$A:$E,5,FALSE),"Add to Foods"))</f>
        <v/>
      </c>
      <c r="H252" s="12"/>
      <c r="I252" s="12" t="str">
        <f>IF($C252="","",IF(COUNTIF(Foods!$A:$A,$C252)&gt;0,"Yes","No - add nickname"))</f>
        <v/>
      </c>
    </row>
    <row r="253" ht="15.75" customHeight="1">
      <c r="A253" s="17"/>
      <c r="B253" s="12"/>
      <c r="C253" s="12"/>
      <c r="D253" s="13"/>
      <c r="E253" s="13" t="str">
        <f>IF($C253="","",IFERROR($D253*VLOOKUP($C253,Foods!$A:$E,3,FALSE),"Add to Foods"))</f>
        <v/>
      </c>
      <c r="F253" s="13" t="str">
        <f>IF($C253="","",IFERROR($D253*VLOOKUP($C253,Foods!$A:$E,4,FALSE),"Add to Foods"))</f>
        <v/>
      </c>
      <c r="G253" s="13" t="str">
        <f>IF($C253="","",IFERROR($D253*VLOOKUP($C253,Foods!$A:$E,5,FALSE),"Add to Foods"))</f>
        <v/>
      </c>
      <c r="H253" s="12"/>
      <c r="I253" s="12" t="str">
        <f>IF($C253="","",IF(COUNTIF(Foods!$A:$A,$C253)&gt;0,"Yes","No - add nickname"))</f>
        <v/>
      </c>
    </row>
    <row r="254" ht="15.75" customHeight="1">
      <c r="A254" s="17"/>
      <c r="B254" s="12"/>
      <c r="C254" s="12"/>
      <c r="D254" s="13"/>
      <c r="E254" s="13" t="str">
        <f>IF($C254="","",IFERROR($D254*VLOOKUP($C254,Foods!$A:$E,3,FALSE),"Add to Foods"))</f>
        <v/>
      </c>
      <c r="F254" s="13" t="str">
        <f>IF($C254="","",IFERROR($D254*VLOOKUP($C254,Foods!$A:$E,4,FALSE),"Add to Foods"))</f>
        <v/>
      </c>
      <c r="G254" s="13" t="str">
        <f>IF($C254="","",IFERROR($D254*VLOOKUP($C254,Foods!$A:$E,5,FALSE),"Add to Foods"))</f>
        <v/>
      </c>
      <c r="H254" s="12"/>
      <c r="I254" s="12" t="str">
        <f>IF($C254="","",IF(COUNTIF(Foods!$A:$A,$C254)&gt;0,"Yes","No - add nickname"))</f>
        <v/>
      </c>
    </row>
    <row r="255" ht="15.75" customHeight="1">
      <c r="A255" s="17"/>
      <c r="B255" s="12"/>
      <c r="C255" s="12"/>
      <c r="D255" s="13"/>
      <c r="E255" s="13" t="str">
        <f>IF($C255="","",IFERROR($D255*VLOOKUP($C255,Foods!$A:$E,3,FALSE),"Add to Foods"))</f>
        <v/>
      </c>
      <c r="F255" s="13" t="str">
        <f>IF($C255="","",IFERROR($D255*VLOOKUP($C255,Foods!$A:$E,4,FALSE),"Add to Foods"))</f>
        <v/>
      </c>
      <c r="G255" s="13" t="str">
        <f>IF($C255="","",IFERROR($D255*VLOOKUP($C255,Foods!$A:$E,5,FALSE),"Add to Foods"))</f>
        <v/>
      </c>
      <c r="H255" s="12"/>
      <c r="I255" s="12" t="str">
        <f>IF($C255="","",IF(COUNTIF(Foods!$A:$A,$C255)&gt;0,"Yes","No - add nickname"))</f>
        <v/>
      </c>
    </row>
    <row r="256" ht="15.75" customHeight="1">
      <c r="A256" s="17"/>
      <c r="B256" s="12"/>
      <c r="C256" s="12"/>
      <c r="D256" s="13"/>
      <c r="E256" s="13" t="str">
        <f>IF($C256="","",IFERROR($D256*VLOOKUP($C256,Foods!$A:$E,3,FALSE),"Add to Foods"))</f>
        <v/>
      </c>
      <c r="F256" s="13" t="str">
        <f>IF($C256="","",IFERROR($D256*VLOOKUP($C256,Foods!$A:$E,4,FALSE),"Add to Foods"))</f>
        <v/>
      </c>
      <c r="G256" s="13" t="str">
        <f>IF($C256="","",IFERROR($D256*VLOOKUP($C256,Foods!$A:$E,5,FALSE),"Add to Foods"))</f>
        <v/>
      </c>
      <c r="H256" s="12"/>
      <c r="I256" s="12" t="str">
        <f>IF($C256="","",IF(COUNTIF(Foods!$A:$A,$C256)&gt;0,"Yes","No - add nickname"))</f>
        <v/>
      </c>
    </row>
    <row r="257" ht="15.75" customHeight="1">
      <c r="A257" s="17"/>
      <c r="B257" s="12"/>
      <c r="C257" s="12"/>
      <c r="D257" s="13"/>
      <c r="E257" s="13" t="str">
        <f>IF($C257="","",IFERROR($D257*VLOOKUP($C257,Foods!$A:$E,3,FALSE),"Add to Foods"))</f>
        <v/>
      </c>
      <c r="F257" s="13" t="str">
        <f>IF($C257="","",IFERROR($D257*VLOOKUP($C257,Foods!$A:$E,4,FALSE),"Add to Foods"))</f>
        <v/>
      </c>
      <c r="G257" s="13" t="str">
        <f>IF($C257="","",IFERROR($D257*VLOOKUP($C257,Foods!$A:$E,5,FALSE),"Add to Foods"))</f>
        <v/>
      </c>
      <c r="H257" s="12"/>
      <c r="I257" s="12" t="str">
        <f>IF($C257="","",IF(COUNTIF(Foods!$A:$A,$C257)&gt;0,"Yes","No - add nickname"))</f>
        <v/>
      </c>
    </row>
    <row r="258" ht="15.75" customHeight="1">
      <c r="A258" s="17"/>
      <c r="B258" s="12"/>
      <c r="C258" s="12"/>
      <c r="D258" s="13"/>
      <c r="E258" s="13" t="str">
        <f>IF($C258="","",IFERROR($D258*VLOOKUP($C258,Foods!$A:$E,3,FALSE),"Add to Foods"))</f>
        <v/>
      </c>
      <c r="F258" s="13" t="str">
        <f>IF($C258="","",IFERROR($D258*VLOOKUP($C258,Foods!$A:$E,4,FALSE),"Add to Foods"))</f>
        <v/>
      </c>
      <c r="G258" s="13" t="str">
        <f>IF($C258="","",IFERROR($D258*VLOOKUP($C258,Foods!$A:$E,5,FALSE),"Add to Foods"))</f>
        <v/>
      </c>
      <c r="H258" s="12"/>
      <c r="I258" s="12" t="str">
        <f>IF($C258="","",IF(COUNTIF(Foods!$A:$A,$C258)&gt;0,"Yes","No - add nickname"))</f>
        <v/>
      </c>
    </row>
    <row r="259" ht="15.75" customHeight="1">
      <c r="A259" s="17"/>
      <c r="B259" s="12"/>
      <c r="C259" s="12"/>
      <c r="D259" s="13"/>
      <c r="E259" s="13" t="str">
        <f>IF($C259="","",IFERROR($D259*VLOOKUP($C259,Foods!$A:$E,3,FALSE),"Add to Foods"))</f>
        <v/>
      </c>
      <c r="F259" s="13" t="str">
        <f>IF($C259="","",IFERROR($D259*VLOOKUP($C259,Foods!$A:$E,4,FALSE),"Add to Foods"))</f>
        <v/>
      </c>
      <c r="G259" s="13" t="str">
        <f>IF($C259="","",IFERROR($D259*VLOOKUP($C259,Foods!$A:$E,5,FALSE),"Add to Foods"))</f>
        <v/>
      </c>
      <c r="H259" s="12"/>
      <c r="I259" s="12" t="str">
        <f>IF($C259="","",IF(COUNTIF(Foods!$A:$A,$C259)&gt;0,"Yes","No - add nickname"))</f>
        <v/>
      </c>
    </row>
    <row r="260" ht="15.75" customHeight="1">
      <c r="A260" s="17"/>
      <c r="B260" s="12"/>
      <c r="C260" s="12"/>
      <c r="D260" s="13"/>
      <c r="E260" s="13" t="str">
        <f>IF($C260="","",IFERROR($D260*VLOOKUP($C260,Foods!$A:$E,3,FALSE),"Add to Foods"))</f>
        <v/>
      </c>
      <c r="F260" s="13" t="str">
        <f>IF($C260="","",IFERROR($D260*VLOOKUP($C260,Foods!$A:$E,4,FALSE),"Add to Foods"))</f>
        <v/>
      </c>
      <c r="G260" s="13" t="str">
        <f>IF($C260="","",IFERROR($D260*VLOOKUP($C260,Foods!$A:$E,5,FALSE),"Add to Foods"))</f>
        <v/>
      </c>
      <c r="H260" s="12"/>
      <c r="I260" s="12" t="str">
        <f>IF($C260="","",IF(COUNTIF(Foods!$A:$A,$C260)&gt;0,"Yes","No - add nickname"))</f>
        <v/>
      </c>
    </row>
    <row r="261" ht="15.75" customHeight="1">
      <c r="A261" s="17"/>
      <c r="B261" s="12"/>
      <c r="C261" s="12"/>
      <c r="D261" s="13"/>
      <c r="E261" s="13" t="str">
        <f>IF($C261="","",IFERROR($D261*VLOOKUP($C261,Foods!$A:$E,3,FALSE),"Add to Foods"))</f>
        <v/>
      </c>
      <c r="F261" s="13" t="str">
        <f>IF($C261="","",IFERROR($D261*VLOOKUP($C261,Foods!$A:$E,4,FALSE),"Add to Foods"))</f>
        <v/>
      </c>
      <c r="G261" s="13" t="str">
        <f>IF($C261="","",IFERROR($D261*VLOOKUP($C261,Foods!$A:$E,5,FALSE),"Add to Foods"))</f>
        <v/>
      </c>
      <c r="H261" s="12"/>
      <c r="I261" s="12" t="str">
        <f>IF($C261="","",IF(COUNTIF(Foods!$A:$A,$C261)&gt;0,"Yes","No - add nickname"))</f>
        <v/>
      </c>
    </row>
    <row r="262" ht="15.75" customHeight="1">
      <c r="A262" s="17"/>
      <c r="B262" s="12"/>
      <c r="C262" s="12"/>
      <c r="D262" s="13"/>
      <c r="E262" s="13" t="str">
        <f>IF($C262="","",IFERROR($D262*VLOOKUP($C262,Foods!$A:$E,3,FALSE),"Add to Foods"))</f>
        <v/>
      </c>
      <c r="F262" s="13" t="str">
        <f>IF($C262="","",IFERROR($D262*VLOOKUP($C262,Foods!$A:$E,4,FALSE),"Add to Foods"))</f>
        <v/>
      </c>
      <c r="G262" s="13" t="str">
        <f>IF($C262="","",IFERROR($D262*VLOOKUP($C262,Foods!$A:$E,5,FALSE),"Add to Foods"))</f>
        <v/>
      </c>
      <c r="H262" s="12"/>
      <c r="I262" s="12" t="str">
        <f>IF($C262="","",IF(COUNTIF(Foods!$A:$A,$C262)&gt;0,"Yes","No - add nickname"))</f>
        <v/>
      </c>
    </row>
    <row r="263" ht="15.75" customHeight="1">
      <c r="A263" s="17"/>
      <c r="B263" s="12"/>
      <c r="C263" s="12"/>
      <c r="D263" s="13"/>
      <c r="E263" s="13" t="str">
        <f>IF($C263="","",IFERROR($D263*VLOOKUP($C263,Foods!$A:$E,3,FALSE),"Add to Foods"))</f>
        <v/>
      </c>
      <c r="F263" s="13" t="str">
        <f>IF($C263="","",IFERROR($D263*VLOOKUP($C263,Foods!$A:$E,4,FALSE),"Add to Foods"))</f>
        <v/>
      </c>
      <c r="G263" s="13" t="str">
        <f>IF($C263="","",IFERROR($D263*VLOOKUP($C263,Foods!$A:$E,5,FALSE),"Add to Foods"))</f>
        <v/>
      </c>
      <c r="H263" s="12"/>
      <c r="I263" s="12" t="str">
        <f>IF($C263="","",IF(COUNTIF(Foods!$A:$A,$C263)&gt;0,"Yes","No - add nickname"))</f>
        <v/>
      </c>
    </row>
    <row r="264" ht="15.75" customHeight="1">
      <c r="A264" s="17"/>
      <c r="B264" s="12"/>
      <c r="C264" s="12"/>
      <c r="D264" s="13"/>
      <c r="E264" s="13" t="str">
        <f>IF($C264="","",IFERROR($D264*VLOOKUP($C264,Foods!$A:$E,3,FALSE),"Add to Foods"))</f>
        <v/>
      </c>
      <c r="F264" s="13" t="str">
        <f>IF($C264="","",IFERROR($D264*VLOOKUP($C264,Foods!$A:$E,4,FALSE),"Add to Foods"))</f>
        <v/>
      </c>
      <c r="G264" s="13" t="str">
        <f>IF($C264="","",IFERROR($D264*VLOOKUP($C264,Foods!$A:$E,5,FALSE),"Add to Foods"))</f>
        <v/>
      </c>
      <c r="H264" s="12"/>
      <c r="I264" s="12" t="str">
        <f>IF($C264="","",IF(COUNTIF(Foods!$A:$A,$C264)&gt;0,"Yes","No - add nickname"))</f>
        <v/>
      </c>
    </row>
    <row r="265" ht="15.75" customHeight="1">
      <c r="A265" s="17"/>
      <c r="B265" s="12"/>
      <c r="C265" s="12"/>
      <c r="D265" s="13"/>
      <c r="E265" s="13" t="str">
        <f>IF($C265="","",IFERROR($D265*VLOOKUP($C265,Foods!$A:$E,3,FALSE),"Add to Foods"))</f>
        <v/>
      </c>
      <c r="F265" s="13" t="str">
        <f>IF($C265="","",IFERROR($D265*VLOOKUP($C265,Foods!$A:$E,4,FALSE),"Add to Foods"))</f>
        <v/>
      </c>
      <c r="G265" s="13" t="str">
        <f>IF($C265="","",IFERROR($D265*VLOOKUP($C265,Foods!$A:$E,5,FALSE),"Add to Foods"))</f>
        <v/>
      </c>
      <c r="H265" s="12"/>
      <c r="I265" s="12" t="str">
        <f>IF($C265="","",IF(COUNTIF(Foods!$A:$A,$C265)&gt;0,"Yes","No - add nickname"))</f>
        <v/>
      </c>
    </row>
    <row r="266" ht="15.75" customHeight="1">
      <c r="A266" s="17"/>
      <c r="B266" s="12"/>
      <c r="C266" s="12"/>
      <c r="D266" s="13"/>
      <c r="E266" s="13" t="str">
        <f>IF($C266="","",IFERROR($D266*VLOOKUP($C266,Foods!$A:$E,3,FALSE),"Add to Foods"))</f>
        <v/>
      </c>
      <c r="F266" s="13" t="str">
        <f>IF($C266="","",IFERROR($D266*VLOOKUP($C266,Foods!$A:$E,4,FALSE),"Add to Foods"))</f>
        <v/>
      </c>
      <c r="G266" s="13" t="str">
        <f>IF($C266="","",IFERROR($D266*VLOOKUP($C266,Foods!$A:$E,5,FALSE),"Add to Foods"))</f>
        <v/>
      </c>
      <c r="H266" s="12"/>
      <c r="I266" s="12" t="str">
        <f>IF($C266="","",IF(COUNTIF(Foods!$A:$A,$C266)&gt;0,"Yes","No - add nickname"))</f>
        <v/>
      </c>
    </row>
    <row r="267" ht="15.75" customHeight="1">
      <c r="A267" s="17"/>
      <c r="B267" s="12"/>
      <c r="C267" s="12"/>
      <c r="D267" s="13"/>
      <c r="E267" s="13" t="str">
        <f>IF($C267="","",IFERROR($D267*VLOOKUP($C267,Foods!$A:$E,3,FALSE),"Add to Foods"))</f>
        <v/>
      </c>
      <c r="F267" s="13" t="str">
        <f>IF($C267="","",IFERROR($D267*VLOOKUP($C267,Foods!$A:$E,4,FALSE),"Add to Foods"))</f>
        <v/>
      </c>
      <c r="G267" s="13" t="str">
        <f>IF($C267="","",IFERROR($D267*VLOOKUP($C267,Foods!$A:$E,5,FALSE),"Add to Foods"))</f>
        <v/>
      </c>
      <c r="H267" s="12"/>
      <c r="I267" s="12" t="str">
        <f>IF($C267="","",IF(COUNTIF(Foods!$A:$A,$C267)&gt;0,"Yes","No - add nickname"))</f>
        <v/>
      </c>
    </row>
    <row r="268" ht="15.75" customHeight="1">
      <c r="A268" s="17"/>
      <c r="B268" s="12"/>
      <c r="C268" s="12"/>
      <c r="D268" s="13"/>
      <c r="E268" s="13" t="str">
        <f>IF($C268="","",IFERROR($D268*VLOOKUP($C268,Foods!$A:$E,3,FALSE),"Add to Foods"))</f>
        <v/>
      </c>
      <c r="F268" s="13" t="str">
        <f>IF($C268="","",IFERROR($D268*VLOOKUP($C268,Foods!$A:$E,4,FALSE),"Add to Foods"))</f>
        <v/>
      </c>
      <c r="G268" s="13" t="str">
        <f>IF($C268="","",IFERROR($D268*VLOOKUP($C268,Foods!$A:$E,5,FALSE),"Add to Foods"))</f>
        <v/>
      </c>
      <c r="H268" s="12"/>
      <c r="I268" s="12" t="str">
        <f>IF($C268="","",IF(COUNTIF(Foods!$A:$A,$C268)&gt;0,"Yes","No - add nickname"))</f>
        <v/>
      </c>
    </row>
    <row r="269" ht="15.75" customHeight="1">
      <c r="A269" s="17"/>
      <c r="B269" s="12"/>
      <c r="C269" s="12"/>
      <c r="D269" s="13"/>
      <c r="E269" s="13" t="str">
        <f>IF($C269="","",IFERROR($D269*VLOOKUP($C269,Foods!$A:$E,3,FALSE),"Add to Foods"))</f>
        <v/>
      </c>
      <c r="F269" s="13" t="str">
        <f>IF($C269="","",IFERROR($D269*VLOOKUP($C269,Foods!$A:$E,4,FALSE),"Add to Foods"))</f>
        <v/>
      </c>
      <c r="G269" s="13" t="str">
        <f>IF($C269="","",IFERROR($D269*VLOOKUP($C269,Foods!$A:$E,5,FALSE),"Add to Foods"))</f>
        <v/>
      </c>
      <c r="H269" s="12"/>
      <c r="I269" s="12" t="str">
        <f>IF($C269="","",IF(COUNTIF(Foods!$A:$A,$C269)&gt;0,"Yes","No - add nickname"))</f>
        <v/>
      </c>
    </row>
    <row r="270" ht="15.75" customHeight="1">
      <c r="A270" s="17"/>
      <c r="B270" s="12"/>
      <c r="C270" s="12"/>
      <c r="D270" s="13"/>
      <c r="E270" s="13" t="str">
        <f>IF($C270="","",IFERROR($D270*VLOOKUP($C270,Foods!$A:$E,3,FALSE),"Add to Foods"))</f>
        <v/>
      </c>
      <c r="F270" s="13" t="str">
        <f>IF($C270="","",IFERROR($D270*VLOOKUP($C270,Foods!$A:$E,4,FALSE),"Add to Foods"))</f>
        <v/>
      </c>
      <c r="G270" s="13" t="str">
        <f>IF($C270="","",IFERROR($D270*VLOOKUP($C270,Foods!$A:$E,5,FALSE),"Add to Foods"))</f>
        <v/>
      </c>
      <c r="H270" s="12"/>
      <c r="I270" s="12" t="str">
        <f>IF($C270="","",IF(COUNTIF(Foods!$A:$A,$C270)&gt;0,"Yes","No - add nickname"))</f>
        <v/>
      </c>
    </row>
    <row r="271" ht="15.75" customHeight="1">
      <c r="A271" s="17"/>
      <c r="B271" s="12"/>
      <c r="C271" s="12"/>
      <c r="D271" s="13"/>
      <c r="E271" s="13" t="str">
        <f>IF($C271="","",IFERROR($D271*VLOOKUP($C271,Foods!$A:$E,3,FALSE),"Add to Foods"))</f>
        <v/>
      </c>
      <c r="F271" s="13" t="str">
        <f>IF($C271="","",IFERROR($D271*VLOOKUP($C271,Foods!$A:$E,4,FALSE),"Add to Foods"))</f>
        <v/>
      </c>
      <c r="G271" s="13" t="str">
        <f>IF($C271="","",IFERROR($D271*VLOOKUP($C271,Foods!$A:$E,5,FALSE),"Add to Foods"))</f>
        <v/>
      </c>
      <c r="H271" s="12"/>
      <c r="I271" s="12" t="str">
        <f>IF($C271="","",IF(COUNTIF(Foods!$A:$A,$C271)&gt;0,"Yes","No - add nickname"))</f>
        <v/>
      </c>
    </row>
    <row r="272" ht="15.75" customHeight="1">
      <c r="A272" s="17"/>
      <c r="B272" s="12"/>
      <c r="C272" s="12"/>
      <c r="D272" s="13"/>
      <c r="E272" s="13" t="str">
        <f>IF($C272="","",IFERROR($D272*VLOOKUP($C272,Foods!$A:$E,3,FALSE),"Add to Foods"))</f>
        <v/>
      </c>
      <c r="F272" s="13" t="str">
        <f>IF($C272="","",IFERROR($D272*VLOOKUP($C272,Foods!$A:$E,4,FALSE),"Add to Foods"))</f>
        <v/>
      </c>
      <c r="G272" s="13" t="str">
        <f>IF($C272="","",IFERROR($D272*VLOOKUP($C272,Foods!$A:$E,5,FALSE),"Add to Foods"))</f>
        <v/>
      </c>
      <c r="H272" s="12"/>
      <c r="I272" s="12" t="str">
        <f>IF($C272="","",IF(COUNTIF(Foods!$A:$A,$C272)&gt;0,"Yes","No - add nickname"))</f>
        <v/>
      </c>
    </row>
    <row r="273" ht="15.75" customHeight="1">
      <c r="A273" s="17"/>
      <c r="B273" s="12"/>
      <c r="C273" s="12"/>
      <c r="D273" s="13"/>
      <c r="E273" s="13" t="str">
        <f>IF($C273="","",IFERROR($D273*VLOOKUP($C273,Foods!$A:$E,3,FALSE),"Add to Foods"))</f>
        <v/>
      </c>
      <c r="F273" s="13" t="str">
        <f>IF($C273="","",IFERROR($D273*VLOOKUP($C273,Foods!$A:$E,4,FALSE),"Add to Foods"))</f>
        <v/>
      </c>
      <c r="G273" s="13" t="str">
        <f>IF($C273="","",IFERROR($D273*VLOOKUP($C273,Foods!$A:$E,5,FALSE),"Add to Foods"))</f>
        <v/>
      </c>
      <c r="H273" s="12"/>
      <c r="I273" s="12" t="str">
        <f>IF($C273="","",IF(COUNTIF(Foods!$A:$A,$C273)&gt;0,"Yes","No - add nickname"))</f>
        <v/>
      </c>
    </row>
    <row r="274" ht="15.75" customHeight="1">
      <c r="A274" s="17"/>
      <c r="B274" s="12"/>
      <c r="C274" s="12"/>
      <c r="D274" s="13"/>
      <c r="E274" s="13" t="str">
        <f>IF($C274="","",IFERROR($D274*VLOOKUP($C274,Foods!$A:$E,3,FALSE),"Add to Foods"))</f>
        <v/>
      </c>
      <c r="F274" s="13" t="str">
        <f>IF($C274="","",IFERROR($D274*VLOOKUP($C274,Foods!$A:$E,4,FALSE),"Add to Foods"))</f>
        <v/>
      </c>
      <c r="G274" s="13" t="str">
        <f>IF($C274="","",IFERROR($D274*VLOOKUP($C274,Foods!$A:$E,5,FALSE),"Add to Foods"))</f>
        <v/>
      </c>
      <c r="H274" s="12"/>
      <c r="I274" s="12" t="str">
        <f>IF($C274="","",IF(COUNTIF(Foods!$A:$A,$C274)&gt;0,"Yes","No - add nickname"))</f>
        <v/>
      </c>
    </row>
    <row r="275" ht="15.75" customHeight="1">
      <c r="A275" s="17"/>
      <c r="B275" s="12"/>
      <c r="C275" s="12"/>
      <c r="D275" s="13"/>
      <c r="E275" s="13" t="str">
        <f>IF($C275="","",IFERROR($D275*VLOOKUP($C275,Foods!$A:$E,3,FALSE),"Add to Foods"))</f>
        <v/>
      </c>
      <c r="F275" s="13" t="str">
        <f>IF($C275="","",IFERROR($D275*VLOOKUP($C275,Foods!$A:$E,4,FALSE),"Add to Foods"))</f>
        <v/>
      </c>
      <c r="G275" s="13" t="str">
        <f>IF($C275="","",IFERROR($D275*VLOOKUP($C275,Foods!$A:$E,5,FALSE),"Add to Foods"))</f>
        <v/>
      </c>
      <c r="H275" s="12"/>
      <c r="I275" s="12" t="str">
        <f>IF($C275="","",IF(COUNTIF(Foods!$A:$A,$C275)&gt;0,"Yes","No - add nickname"))</f>
        <v/>
      </c>
    </row>
    <row r="276" ht="15.75" customHeight="1">
      <c r="A276" s="17"/>
      <c r="B276" s="12"/>
      <c r="C276" s="12"/>
      <c r="D276" s="13"/>
      <c r="E276" s="13" t="str">
        <f>IF($C276="","",IFERROR($D276*VLOOKUP($C276,Foods!$A:$E,3,FALSE),"Add to Foods"))</f>
        <v/>
      </c>
      <c r="F276" s="13" t="str">
        <f>IF($C276="","",IFERROR($D276*VLOOKUP($C276,Foods!$A:$E,4,FALSE),"Add to Foods"))</f>
        <v/>
      </c>
      <c r="G276" s="13" t="str">
        <f>IF($C276="","",IFERROR($D276*VLOOKUP($C276,Foods!$A:$E,5,FALSE),"Add to Foods"))</f>
        <v/>
      </c>
      <c r="H276" s="12"/>
      <c r="I276" s="12" t="str">
        <f>IF($C276="","",IF(COUNTIF(Foods!$A:$A,$C276)&gt;0,"Yes","No - add nickname"))</f>
        <v/>
      </c>
    </row>
    <row r="277" ht="15.75" customHeight="1">
      <c r="A277" s="17"/>
      <c r="B277" s="12"/>
      <c r="C277" s="12"/>
      <c r="D277" s="13"/>
      <c r="E277" s="13" t="str">
        <f>IF($C277="","",IFERROR($D277*VLOOKUP($C277,Foods!$A:$E,3,FALSE),"Add to Foods"))</f>
        <v/>
      </c>
      <c r="F277" s="13" t="str">
        <f>IF($C277="","",IFERROR($D277*VLOOKUP($C277,Foods!$A:$E,4,FALSE),"Add to Foods"))</f>
        <v/>
      </c>
      <c r="G277" s="13" t="str">
        <f>IF($C277="","",IFERROR($D277*VLOOKUP($C277,Foods!$A:$E,5,FALSE),"Add to Foods"))</f>
        <v/>
      </c>
      <c r="H277" s="12"/>
      <c r="I277" s="12" t="str">
        <f>IF($C277="","",IF(COUNTIF(Foods!$A:$A,$C277)&gt;0,"Yes","No - add nickname"))</f>
        <v/>
      </c>
    </row>
    <row r="278" ht="15.75" customHeight="1">
      <c r="A278" s="17"/>
      <c r="B278" s="12"/>
      <c r="C278" s="12"/>
      <c r="D278" s="13"/>
      <c r="E278" s="13" t="str">
        <f>IF($C278="","",IFERROR($D278*VLOOKUP($C278,Foods!$A:$E,3,FALSE),"Add to Foods"))</f>
        <v/>
      </c>
      <c r="F278" s="13" t="str">
        <f>IF($C278="","",IFERROR($D278*VLOOKUP($C278,Foods!$A:$E,4,FALSE),"Add to Foods"))</f>
        <v/>
      </c>
      <c r="G278" s="13" t="str">
        <f>IF($C278="","",IFERROR($D278*VLOOKUP($C278,Foods!$A:$E,5,FALSE),"Add to Foods"))</f>
        <v/>
      </c>
      <c r="H278" s="12"/>
      <c r="I278" s="12" t="str">
        <f>IF($C278="","",IF(COUNTIF(Foods!$A:$A,$C278)&gt;0,"Yes","No - add nickname"))</f>
        <v/>
      </c>
    </row>
    <row r="279" ht="15.75" customHeight="1">
      <c r="A279" s="17"/>
      <c r="B279" s="12"/>
      <c r="C279" s="12"/>
      <c r="D279" s="13"/>
      <c r="E279" s="13" t="str">
        <f>IF($C279="","",IFERROR($D279*VLOOKUP($C279,Foods!$A:$E,3,FALSE),"Add to Foods"))</f>
        <v/>
      </c>
      <c r="F279" s="13" t="str">
        <f>IF($C279="","",IFERROR($D279*VLOOKUP($C279,Foods!$A:$E,4,FALSE),"Add to Foods"))</f>
        <v/>
      </c>
      <c r="G279" s="13" t="str">
        <f>IF($C279="","",IFERROR($D279*VLOOKUP($C279,Foods!$A:$E,5,FALSE),"Add to Foods"))</f>
        <v/>
      </c>
      <c r="H279" s="12"/>
      <c r="I279" s="12" t="str">
        <f>IF($C279="","",IF(COUNTIF(Foods!$A:$A,$C279)&gt;0,"Yes","No - add nickname"))</f>
        <v/>
      </c>
    </row>
    <row r="280" ht="15.75" customHeight="1">
      <c r="A280" s="17"/>
      <c r="B280" s="12"/>
      <c r="C280" s="12"/>
      <c r="D280" s="13"/>
      <c r="E280" s="13" t="str">
        <f>IF($C280="","",IFERROR($D280*VLOOKUP($C280,Foods!$A:$E,3,FALSE),"Add to Foods"))</f>
        <v/>
      </c>
      <c r="F280" s="13" t="str">
        <f>IF($C280="","",IFERROR($D280*VLOOKUP($C280,Foods!$A:$E,4,FALSE),"Add to Foods"))</f>
        <v/>
      </c>
      <c r="G280" s="13" t="str">
        <f>IF($C280="","",IFERROR($D280*VLOOKUP($C280,Foods!$A:$E,5,FALSE),"Add to Foods"))</f>
        <v/>
      </c>
      <c r="H280" s="12"/>
      <c r="I280" s="12" t="str">
        <f>IF($C280="","",IF(COUNTIF(Foods!$A:$A,$C280)&gt;0,"Yes","No - add nickname"))</f>
        <v/>
      </c>
    </row>
    <row r="281" ht="15.75" customHeight="1">
      <c r="A281" s="17"/>
      <c r="B281" s="12"/>
      <c r="C281" s="12"/>
      <c r="D281" s="13"/>
      <c r="E281" s="13" t="str">
        <f>IF($C281="","",IFERROR($D281*VLOOKUP($C281,Foods!$A:$E,3,FALSE),"Add to Foods"))</f>
        <v/>
      </c>
      <c r="F281" s="13" t="str">
        <f>IF($C281="","",IFERROR($D281*VLOOKUP($C281,Foods!$A:$E,4,FALSE),"Add to Foods"))</f>
        <v/>
      </c>
      <c r="G281" s="13" t="str">
        <f>IF($C281="","",IFERROR($D281*VLOOKUP($C281,Foods!$A:$E,5,FALSE),"Add to Foods"))</f>
        <v/>
      </c>
      <c r="H281" s="12"/>
      <c r="I281" s="12" t="str">
        <f>IF($C281="","",IF(COUNTIF(Foods!$A:$A,$C281)&gt;0,"Yes","No - add nickname"))</f>
        <v/>
      </c>
    </row>
    <row r="282" ht="15.75" customHeight="1">
      <c r="A282" s="17"/>
      <c r="B282" s="12"/>
      <c r="C282" s="12"/>
      <c r="D282" s="13"/>
      <c r="E282" s="13" t="str">
        <f>IF($C282="","",IFERROR($D282*VLOOKUP($C282,Foods!$A:$E,3,FALSE),"Add to Foods"))</f>
        <v/>
      </c>
      <c r="F282" s="13" t="str">
        <f>IF($C282="","",IFERROR($D282*VLOOKUP($C282,Foods!$A:$E,4,FALSE),"Add to Foods"))</f>
        <v/>
      </c>
      <c r="G282" s="13" t="str">
        <f>IF($C282="","",IFERROR($D282*VLOOKUP($C282,Foods!$A:$E,5,FALSE),"Add to Foods"))</f>
        <v/>
      </c>
      <c r="H282" s="12"/>
      <c r="I282" s="12" t="str">
        <f>IF($C282="","",IF(COUNTIF(Foods!$A:$A,$C282)&gt;0,"Yes","No - add nickname"))</f>
        <v/>
      </c>
    </row>
    <row r="283" ht="15.75" customHeight="1">
      <c r="A283" s="17"/>
      <c r="B283" s="12"/>
      <c r="C283" s="12"/>
      <c r="D283" s="13"/>
      <c r="E283" s="13" t="str">
        <f>IF($C283="","",IFERROR($D283*VLOOKUP($C283,Foods!$A:$E,3,FALSE),"Add to Foods"))</f>
        <v/>
      </c>
      <c r="F283" s="13" t="str">
        <f>IF($C283="","",IFERROR($D283*VLOOKUP($C283,Foods!$A:$E,4,FALSE),"Add to Foods"))</f>
        <v/>
      </c>
      <c r="G283" s="13" t="str">
        <f>IF($C283="","",IFERROR($D283*VLOOKUP($C283,Foods!$A:$E,5,FALSE),"Add to Foods"))</f>
        <v/>
      </c>
      <c r="H283" s="12"/>
      <c r="I283" s="12" t="str">
        <f>IF($C283="","",IF(COUNTIF(Foods!$A:$A,$C283)&gt;0,"Yes","No - add nickname"))</f>
        <v/>
      </c>
    </row>
    <row r="284" ht="15.75" customHeight="1">
      <c r="A284" s="17"/>
      <c r="B284" s="12"/>
      <c r="C284" s="12"/>
      <c r="D284" s="13"/>
      <c r="E284" s="13" t="str">
        <f>IF($C284="","",IFERROR($D284*VLOOKUP($C284,Foods!$A:$E,3,FALSE),"Add to Foods"))</f>
        <v/>
      </c>
      <c r="F284" s="13" t="str">
        <f>IF($C284="","",IFERROR($D284*VLOOKUP($C284,Foods!$A:$E,4,FALSE),"Add to Foods"))</f>
        <v/>
      </c>
      <c r="G284" s="13" t="str">
        <f>IF($C284="","",IFERROR($D284*VLOOKUP($C284,Foods!$A:$E,5,FALSE),"Add to Foods"))</f>
        <v/>
      </c>
      <c r="H284" s="12"/>
      <c r="I284" s="12" t="str">
        <f>IF($C284="","",IF(COUNTIF(Foods!$A:$A,$C284)&gt;0,"Yes","No - add nickname"))</f>
        <v/>
      </c>
    </row>
    <row r="285" ht="15.75" customHeight="1">
      <c r="A285" s="17"/>
      <c r="B285" s="12"/>
      <c r="C285" s="12"/>
      <c r="D285" s="13"/>
      <c r="E285" s="13" t="str">
        <f>IF($C285="","",IFERROR($D285*VLOOKUP($C285,Foods!$A:$E,3,FALSE),"Add to Foods"))</f>
        <v/>
      </c>
      <c r="F285" s="13" t="str">
        <f>IF($C285="","",IFERROR($D285*VLOOKUP($C285,Foods!$A:$E,4,FALSE),"Add to Foods"))</f>
        <v/>
      </c>
      <c r="G285" s="13" t="str">
        <f>IF($C285="","",IFERROR($D285*VLOOKUP($C285,Foods!$A:$E,5,FALSE),"Add to Foods"))</f>
        <v/>
      </c>
      <c r="H285" s="12"/>
      <c r="I285" s="12" t="str">
        <f>IF($C285="","",IF(COUNTIF(Foods!$A:$A,$C285)&gt;0,"Yes","No - add nickname"))</f>
        <v/>
      </c>
    </row>
    <row r="286" ht="15.75" customHeight="1">
      <c r="A286" s="17"/>
      <c r="B286" s="12"/>
      <c r="C286" s="12"/>
      <c r="D286" s="13"/>
      <c r="E286" s="13" t="str">
        <f>IF($C286="","",IFERROR($D286*VLOOKUP($C286,Foods!$A:$E,3,FALSE),"Add to Foods"))</f>
        <v/>
      </c>
      <c r="F286" s="13" t="str">
        <f>IF($C286="","",IFERROR($D286*VLOOKUP($C286,Foods!$A:$E,4,FALSE),"Add to Foods"))</f>
        <v/>
      </c>
      <c r="G286" s="13" t="str">
        <f>IF($C286="","",IFERROR($D286*VLOOKUP($C286,Foods!$A:$E,5,FALSE),"Add to Foods"))</f>
        <v/>
      </c>
      <c r="H286" s="12"/>
      <c r="I286" s="12" t="str">
        <f>IF($C286="","",IF(COUNTIF(Foods!$A:$A,$C286)&gt;0,"Yes","No - add nickname"))</f>
        <v/>
      </c>
    </row>
    <row r="287" ht="15.75" customHeight="1">
      <c r="A287" s="17"/>
      <c r="B287" s="12"/>
      <c r="C287" s="12"/>
      <c r="D287" s="13"/>
      <c r="E287" s="13" t="str">
        <f>IF($C287="","",IFERROR($D287*VLOOKUP($C287,Foods!$A:$E,3,FALSE),"Add to Foods"))</f>
        <v/>
      </c>
      <c r="F287" s="13" t="str">
        <f>IF($C287="","",IFERROR($D287*VLOOKUP($C287,Foods!$A:$E,4,FALSE),"Add to Foods"))</f>
        <v/>
      </c>
      <c r="G287" s="13" t="str">
        <f>IF($C287="","",IFERROR($D287*VLOOKUP($C287,Foods!$A:$E,5,FALSE),"Add to Foods"))</f>
        <v/>
      </c>
      <c r="H287" s="12"/>
      <c r="I287" s="12" t="str">
        <f>IF($C287="","",IF(COUNTIF(Foods!$A:$A,$C287)&gt;0,"Yes","No - add nickname"))</f>
        <v/>
      </c>
    </row>
    <row r="288" ht="15.75" customHeight="1">
      <c r="A288" s="17"/>
      <c r="B288" s="12"/>
      <c r="C288" s="12"/>
      <c r="D288" s="13"/>
      <c r="E288" s="13" t="str">
        <f>IF($C288="","",IFERROR($D288*VLOOKUP($C288,Foods!$A:$E,3,FALSE),"Add to Foods"))</f>
        <v/>
      </c>
      <c r="F288" s="13" t="str">
        <f>IF($C288="","",IFERROR($D288*VLOOKUP($C288,Foods!$A:$E,4,FALSE),"Add to Foods"))</f>
        <v/>
      </c>
      <c r="G288" s="13" t="str">
        <f>IF($C288="","",IFERROR($D288*VLOOKUP($C288,Foods!$A:$E,5,FALSE),"Add to Foods"))</f>
        <v/>
      </c>
      <c r="H288" s="12"/>
      <c r="I288" s="12" t="str">
        <f>IF($C288="","",IF(COUNTIF(Foods!$A:$A,$C288)&gt;0,"Yes","No - add nickname"))</f>
        <v/>
      </c>
    </row>
    <row r="289" ht="15.75" customHeight="1">
      <c r="A289" s="17"/>
      <c r="B289" s="12"/>
      <c r="C289" s="12"/>
      <c r="D289" s="13"/>
      <c r="E289" s="13" t="str">
        <f>IF($C289="","",IFERROR($D289*VLOOKUP($C289,Foods!$A:$E,3,FALSE),"Add to Foods"))</f>
        <v/>
      </c>
      <c r="F289" s="13" t="str">
        <f>IF($C289="","",IFERROR($D289*VLOOKUP($C289,Foods!$A:$E,4,FALSE),"Add to Foods"))</f>
        <v/>
      </c>
      <c r="G289" s="13" t="str">
        <f>IF($C289="","",IFERROR($D289*VLOOKUP($C289,Foods!$A:$E,5,FALSE),"Add to Foods"))</f>
        <v/>
      </c>
      <c r="H289" s="12"/>
      <c r="I289" s="12" t="str">
        <f>IF($C289="","",IF(COUNTIF(Foods!$A:$A,$C289)&gt;0,"Yes","No - add nickname"))</f>
        <v/>
      </c>
    </row>
    <row r="290" ht="15.75" customHeight="1">
      <c r="A290" s="17"/>
      <c r="B290" s="12"/>
      <c r="C290" s="12"/>
      <c r="D290" s="13"/>
      <c r="E290" s="13" t="str">
        <f>IF($C290="","",IFERROR($D290*VLOOKUP($C290,Foods!$A:$E,3,FALSE),"Add to Foods"))</f>
        <v/>
      </c>
      <c r="F290" s="13" t="str">
        <f>IF($C290="","",IFERROR($D290*VLOOKUP($C290,Foods!$A:$E,4,FALSE),"Add to Foods"))</f>
        <v/>
      </c>
      <c r="G290" s="13" t="str">
        <f>IF($C290="","",IFERROR($D290*VLOOKUP($C290,Foods!$A:$E,5,FALSE),"Add to Foods"))</f>
        <v/>
      </c>
      <c r="H290" s="12"/>
      <c r="I290" s="12" t="str">
        <f>IF($C290="","",IF(COUNTIF(Foods!$A:$A,$C290)&gt;0,"Yes","No - add nickname"))</f>
        <v/>
      </c>
    </row>
    <row r="291" ht="15.75" customHeight="1">
      <c r="A291" s="17"/>
      <c r="B291" s="12"/>
      <c r="C291" s="12"/>
      <c r="D291" s="13"/>
      <c r="E291" s="13" t="str">
        <f>IF($C291="","",IFERROR($D291*VLOOKUP($C291,Foods!$A:$E,3,FALSE),"Add to Foods"))</f>
        <v/>
      </c>
      <c r="F291" s="13" t="str">
        <f>IF($C291="","",IFERROR($D291*VLOOKUP($C291,Foods!$A:$E,4,FALSE),"Add to Foods"))</f>
        <v/>
      </c>
      <c r="G291" s="13" t="str">
        <f>IF($C291="","",IFERROR($D291*VLOOKUP($C291,Foods!$A:$E,5,FALSE),"Add to Foods"))</f>
        <v/>
      </c>
      <c r="H291" s="12"/>
      <c r="I291" s="12" t="str">
        <f>IF($C291="","",IF(COUNTIF(Foods!$A:$A,$C291)&gt;0,"Yes","No - add nickname"))</f>
        <v/>
      </c>
    </row>
    <row r="292" ht="15.75" customHeight="1">
      <c r="A292" s="17"/>
      <c r="B292" s="12"/>
      <c r="C292" s="12"/>
      <c r="D292" s="13"/>
      <c r="E292" s="13" t="str">
        <f>IF($C292="","",IFERROR($D292*VLOOKUP($C292,Foods!$A:$E,3,FALSE),"Add to Foods"))</f>
        <v/>
      </c>
      <c r="F292" s="13" t="str">
        <f>IF($C292="","",IFERROR($D292*VLOOKUP($C292,Foods!$A:$E,4,FALSE),"Add to Foods"))</f>
        <v/>
      </c>
      <c r="G292" s="13" t="str">
        <f>IF($C292="","",IFERROR($D292*VLOOKUP($C292,Foods!$A:$E,5,FALSE),"Add to Foods"))</f>
        <v/>
      </c>
      <c r="H292" s="12"/>
      <c r="I292" s="12" t="str">
        <f>IF($C292="","",IF(COUNTIF(Foods!$A:$A,$C292)&gt;0,"Yes","No - add nickname"))</f>
        <v/>
      </c>
    </row>
    <row r="293" ht="15.75" customHeight="1">
      <c r="A293" s="17"/>
      <c r="B293" s="12"/>
      <c r="C293" s="12"/>
      <c r="D293" s="13"/>
      <c r="E293" s="13" t="str">
        <f>IF($C293="","",IFERROR($D293*VLOOKUP($C293,Foods!$A:$E,3,FALSE),"Add to Foods"))</f>
        <v/>
      </c>
      <c r="F293" s="13" t="str">
        <f>IF($C293="","",IFERROR($D293*VLOOKUP($C293,Foods!$A:$E,4,FALSE),"Add to Foods"))</f>
        <v/>
      </c>
      <c r="G293" s="13" t="str">
        <f>IF($C293="","",IFERROR($D293*VLOOKUP($C293,Foods!$A:$E,5,FALSE),"Add to Foods"))</f>
        <v/>
      </c>
      <c r="H293" s="12"/>
      <c r="I293" s="12" t="str">
        <f>IF($C293="","",IF(COUNTIF(Foods!$A:$A,$C293)&gt;0,"Yes","No - add nickname"))</f>
        <v/>
      </c>
    </row>
    <row r="294" ht="15.75" customHeight="1">
      <c r="A294" s="17"/>
      <c r="B294" s="12"/>
      <c r="C294" s="12"/>
      <c r="D294" s="13"/>
      <c r="E294" s="13" t="str">
        <f>IF($C294="","",IFERROR($D294*VLOOKUP($C294,Foods!$A:$E,3,FALSE),"Add to Foods"))</f>
        <v/>
      </c>
      <c r="F294" s="13" t="str">
        <f>IF($C294="","",IFERROR($D294*VLOOKUP($C294,Foods!$A:$E,4,FALSE),"Add to Foods"))</f>
        <v/>
      </c>
      <c r="G294" s="13" t="str">
        <f>IF($C294="","",IFERROR($D294*VLOOKUP($C294,Foods!$A:$E,5,FALSE),"Add to Foods"))</f>
        <v/>
      </c>
      <c r="H294" s="12"/>
      <c r="I294" s="12" t="str">
        <f>IF($C294="","",IF(COUNTIF(Foods!$A:$A,$C294)&gt;0,"Yes","No - add nickname"))</f>
        <v/>
      </c>
    </row>
    <row r="295" ht="15.75" customHeight="1">
      <c r="A295" s="17"/>
      <c r="B295" s="12"/>
      <c r="C295" s="12"/>
      <c r="D295" s="13"/>
      <c r="E295" s="13" t="str">
        <f>IF($C295="","",IFERROR($D295*VLOOKUP($C295,Foods!$A:$E,3,FALSE),"Add to Foods"))</f>
        <v/>
      </c>
      <c r="F295" s="13" t="str">
        <f>IF($C295="","",IFERROR($D295*VLOOKUP($C295,Foods!$A:$E,4,FALSE),"Add to Foods"))</f>
        <v/>
      </c>
      <c r="G295" s="13" t="str">
        <f>IF($C295="","",IFERROR($D295*VLOOKUP($C295,Foods!$A:$E,5,FALSE),"Add to Foods"))</f>
        <v/>
      </c>
      <c r="H295" s="12"/>
      <c r="I295" s="12" t="str">
        <f>IF($C295="","",IF(COUNTIF(Foods!$A:$A,$C295)&gt;0,"Yes","No - add nickname"))</f>
        <v/>
      </c>
    </row>
    <row r="296" ht="15.75" customHeight="1">
      <c r="A296" s="17"/>
      <c r="B296" s="12"/>
      <c r="C296" s="12"/>
      <c r="D296" s="13"/>
      <c r="E296" s="13" t="str">
        <f>IF($C296="","",IFERROR($D296*VLOOKUP($C296,Foods!$A:$E,3,FALSE),"Add to Foods"))</f>
        <v/>
      </c>
      <c r="F296" s="13" t="str">
        <f>IF($C296="","",IFERROR($D296*VLOOKUP($C296,Foods!$A:$E,4,FALSE),"Add to Foods"))</f>
        <v/>
      </c>
      <c r="G296" s="13" t="str">
        <f>IF($C296="","",IFERROR($D296*VLOOKUP($C296,Foods!$A:$E,5,FALSE),"Add to Foods"))</f>
        <v/>
      </c>
      <c r="H296" s="12"/>
      <c r="I296" s="12" t="str">
        <f>IF($C296="","",IF(COUNTIF(Foods!$A:$A,$C296)&gt;0,"Yes","No - add nickname"))</f>
        <v/>
      </c>
    </row>
    <row r="297" ht="15.75" customHeight="1">
      <c r="A297" s="17"/>
      <c r="B297" s="12"/>
      <c r="C297" s="12"/>
      <c r="D297" s="13"/>
      <c r="E297" s="13" t="str">
        <f>IF($C297="","",IFERROR($D297*VLOOKUP($C297,Foods!$A:$E,3,FALSE),"Add to Foods"))</f>
        <v/>
      </c>
      <c r="F297" s="13" t="str">
        <f>IF($C297="","",IFERROR($D297*VLOOKUP($C297,Foods!$A:$E,4,FALSE),"Add to Foods"))</f>
        <v/>
      </c>
      <c r="G297" s="13" t="str">
        <f>IF($C297="","",IFERROR($D297*VLOOKUP($C297,Foods!$A:$E,5,FALSE),"Add to Foods"))</f>
        <v/>
      </c>
      <c r="H297" s="12"/>
      <c r="I297" s="12" t="str">
        <f>IF($C297="","",IF(COUNTIF(Foods!$A:$A,$C297)&gt;0,"Yes","No - add nickname"))</f>
        <v/>
      </c>
    </row>
    <row r="298" ht="15.75" customHeight="1">
      <c r="A298" s="17"/>
      <c r="B298" s="12"/>
      <c r="C298" s="12"/>
      <c r="D298" s="13"/>
      <c r="E298" s="13" t="str">
        <f>IF($C298="","",IFERROR($D298*VLOOKUP($C298,Foods!$A:$E,3,FALSE),"Add to Foods"))</f>
        <v/>
      </c>
      <c r="F298" s="13" t="str">
        <f>IF($C298="","",IFERROR($D298*VLOOKUP($C298,Foods!$A:$E,4,FALSE),"Add to Foods"))</f>
        <v/>
      </c>
      <c r="G298" s="13" t="str">
        <f>IF($C298="","",IFERROR($D298*VLOOKUP($C298,Foods!$A:$E,5,FALSE),"Add to Foods"))</f>
        <v/>
      </c>
      <c r="H298" s="12"/>
      <c r="I298" s="12" t="str">
        <f>IF($C298="","",IF(COUNTIF(Foods!$A:$A,$C298)&gt;0,"Yes","No - add nickname"))</f>
        <v/>
      </c>
    </row>
    <row r="299" ht="15.75" customHeight="1">
      <c r="A299" s="17"/>
      <c r="B299" s="12"/>
      <c r="C299" s="12"/>
      <c r="D299" s="13"/>
      <c r="E299" s="13" t="str">
        <f>IF($C299="","",IFERROR($D299*VLOOKUP($C299,Foods!$A:$E,3,FALSE),"Add to Foods"))</f>
        <v/>
      </c>
      <c r="F299" s="13" t="str">
        <f>IF($C299="","",IFERROR($D299*VLOOKUP($C299,Foods!$A:$E,4,FALSE),"Add to Foods"))</f>
        <v/>
      </c>
      <c r="G299" s="13" t="str">
        <f>IF($C299="","",IFERROR($D299*VLOOKUP($C299,Foods!$A:$E,5,FALSE),"Add to Foods"))</f>
        <v/>
      </c>
      <c r="H299" s="12"/>
      <c r="I299" s="12" t="str">
        <f>IF($C299="","",IF(COUNTIF(Foods!$A:$A,$C299)&gt;0,"Yes","No - add nickname"))</f>
        <v/>
      </c>
    </row>
    <row r="300" ht="15.75" customHeight="1">
      <c r="A300" s="17"/>
      <c r="B300" s="12"/>
      <c r="C300" s="12"/>
      <c r="D300" s="13"/>
      <c r="E300" s="13" t="str">
        <f>IF($C300="","",IFERROR($D300*VLOOKUP($C300,Foods!$A:$E,3,FALSE),"Add to Foods"))</f>
        <v/>
      </c>
      <c r="F300" s="13" t="str">
        <f>IF($C300="","",IFERROR($D300*VLOOKUP($C300,Foods!$A:$E,4,FALSE),"Add to Foods"))</f>
        <v/>
      </c>
      <c r="G300" s="13" t="str">
        <f>IF($C300="","",IFERROR($D300*VLOOKUP($C300,Foods!$A:$E,5,FALSE),"Add to Foods"))</f>
        <v/>
      </c>
      <c r="H300" s="12"/>
      <c r="I300" s="12" t="str">
        <f>IF($C300="","",IF(COUNTIF(Foods!$A:$A,$C300)&gt;0,"Yes","No - add nickname"))</f>
        <v/>
      </c>
    </row>
    <row r="301" ht="15.75" customHeight="1">
      <c r="A301" s="17"/>
      <c r="B301" s="12"/>
      <c r="C301" s="12"/>
      <c r="D301" s="13"/>
      <c r="E301" s="13" t="str">
        <f>IF($C301="","",IFERROR($D301*VLOOKUP($C301,Foods!$A:$E,3,FALSE),"Add to Foods"))</f>
        <v/>
      </c>
      <c r="F301" s="13" t="str">
        <f>IF($C301="","",IFERROR($D301*VLOOKUP($C301,Foods!$A:$E,4,FALSE),"Add to Foods"))</f>
        <v/>
      </c>
      <c r="G301" s="13" t="str">
        <f>IF($C301="","",IFERROR($D301*VLOOKUP($C301,Foods!$A:$E,5,FALSE),"Add to Foods"))</f>
        <v/>
      </c>
      <c r="H301" s="12"/>
      <c r="I301" s="12" t="str">
        <f>IF($C301="","",IF(COUNTIF(Foods!$A:$A,$C301)&gt;0,"Yes","No - add nickname"))</f>
        <v/>
      </c>
    </row>
    <row r="302" ht="15.75" customHeight="1">
      <c r="A302" s="17"/>
      <c r="B302" s="12"/>
      <c r="C302" s="12"/>
      <c r="D302" s="13"/>
      <c r="E302" s="13" t="str">
        <f>IF($C302="","",IFERROR($D302*VLOOKUP($C302,Foods!$A:$E,3,FALSE),"Add to Foods"))</f>
        <v/>
      </c>
      <c r="F302" s="13" t="str">
        <f>IF($C302="","",IFERROR($D302*VLOOKUP($C302,Foods!$A:$E,4,FALSE),"Add to Foods"))</f>
        <v/>
      </c>
      <c r="G302" s="13" t="str">
        <f>IF($C302="","",IFERROR($D302*VLOOKUP($C302,Foods!$A:$E,5,FALSE),"Add to Foods"))</f>
        <v/>
      </c>
      <c r="H302" s="12"/>
      <c r="I302" s="12" t="str">
        <f>IF($C302="","",IF(COUNTIF(Foods!$A:$A,$C302)&gt;0,"Yes","No - add nickname"))</f>
        <v/>
      </c>
    </row>
    <row r="303" ht="15.75" customHeight="1">
      <c r="A303" s="17"/>
      <c r="B303" s="12"/>
      <c r="C303" s="12"/>
      <c r="D303" s="13"/>
      <c r="E303" s="13" t="str">
        <f>IF($C303="","",IFERROR($D303*VLOOKUP($C303,Foods!$A:$E,3,FALSE),"Add to Foods"))</f>
        <v/>
      </c>
      <c r="F303" s="13" t="str">
        <f>IF($C303="","",IFERROR($D303*VLOOKUP($C303,Foods!$A:$E,4,FALSE),"Add to Foods"))</f>
        <v/>
      </c>
      <c r="G303" s="13" t="str">
        <f>IF($C303="","",IFERROR($D303*VLOOKUP($C303,Foods!$A:$E,5,FALSE),"Add to Foods"))</f>
        <v/>
      </c>
      <c r="H303" s="12"/>
      <c r="I303" s="12" t="str">
        <f>IF($C303="","",IF(COUNTIF(Foods!$A:$A,$C303)&gt;0,"Yes","No - add nickname"))</f>
        <v/>
      </c>
    </row>
    <row r="304" ht="15.75" customHeight="1">
      <c r="A304" s="17"/>
      <c r="B304" s="12"/>
      <c r="C304" s="12"/>
      <c r="D304" s="13"/>
      <c r="E304" s="13" t="str">
        <f>IF($C304="","",IFERROR($D304*VLOOKUP($C304,Foods!$A:$E,3,FALSE),"Add to Foods"))</f>
        <v/>
      </c>
      <c r="F304" s="13" t="str">
        <f>IF($C304="","",IFERROR($D304*VLOOKUP($C304,Foods!$A:$E,4,FALSE),"Add to Foods"))</f>
        <v/>
      </c>
      <c r="G304" s="13" t="str">
        <f>IF($C304="","",IFERROR($D304*VLOOKUP($C304,Foods!$A:$E,5,FALSE),"Add to Foods"))</f>
        <v/>
      </c>
      <c r="H304" s="12"/>
      <c r="I304" s="12" t="str">
        <f>IF($C304="","",IF(COUNTIF(Foods!$A:$A,$C304)&gt;0,"Yes","No - add nickname"))</f>
        <v/>
      </c>
    </row>
    <row r="305" ht="15.75" customHeight="1">
      <c r="A305" s="17"/>
      <c r="B305" s="12"/>
      <c r="C305" s="12"/>
      <c r="D305" s="13"/>
      <c r="E305" s="13" t="str">
        <f>IF($C305="","",IFERROR($D305*VLOOKUP($C305,Foods!$A:$E,3,FALSE),"Add to Foods"))</f>
        <v/>
      </c>
      <c r="F305" s="13" t="str">
        <f>IF($C305="","",IFERROR($D305*VLOOKUP($C305,Foods!$A:$E,4,FALSE),"Add to Foods"))</f>
        <v/>
      </c>
      <c r="G305" s="13" t="str">
        <f>IF($C305="","",IFERROR($D305*VLOOKUP($C305,Foods!$A:$E,5,FALSE),"Add to Foods"))</f>
        <v/>
      </c>
      <c r="H305" s="12"/>
      <c r="I305" s="12" t="str">
        <f>IF($C305="","",IF(COUNTIF(Foods!$A:$A,$C305)&gt;0,"Yes","No - add nickname"))</f>
        <v/>
      </c>
    </row>
    <row r="306" ht="15.75" customHeight="1">
      <c r="A306" s="17"/>
      <c r="B306" s="12"/>
      <c r="C306" s="12"/>
      <c r="D306" s="13"/>
      <c r="E306" s="13" t="str">
        <f>IF($C306="","",IFERROR($D306*VLOOKUP($C306,Foods!$A:$E,3,FALSE),"Add to Foods"))</f>
        <v/>
      </c>
      <c r="F306" s="13" t="str">
        <f>IF($C306="","",IFERROR($D306*VLOOKUP($C306,Foods!$A:$E,4,FALSE),"Add to Foods"))</f>
        <v/>
      </c>
      <c r="G306" s="13" t="str">
        <f>IF($C306="","",IFERROR($D306*VLOOKUP($C306,Foods!$A:$E,5,FALSE),"Add to Foods"))</f>
        <v/>
      </c>
      <c r="H306" s="12"/>
      <c r="I306" s="12" t="str">
        <f>IF($C306="","",IF(COUNTIF(Foods!$A:$A,$C306)&gt;0,"Yes","No - add nickname"))</f>
        <v/>
      </c>
    </row>
    <row r="307" ht="15.75" customHeight="1">
      <c r="A307" s="17"/>
      <c r="B307" s="12"/>
      <c r="C307" s="12"/>
      <c r="D307" s="13"/>
      <c r="E307" s="13" t="str">
        <f>IF($C307="","",IFERROR($D307*VLOOKUP($C307,Foods!$A:$E,3,FALSE),"Add to Foods"))</f>
        <v/>
      </c>
      <c r="F307" s="13" t="str">
        <f>IF($C307="","",IFERROR($D307*VLOOKUP($C307,Foods!$A:$E,4,FALSE),"Add to Foods"))</f>
        <v/>
      </c>
      <c r="G307" s="13" t="str">
        <f>IF($C307="","",IFERROR($D307*VLOOKUP($C307,Foods!$A:$E,5,FALSE),"Add to Foods"))</f>
        <v/>
      </c>
      <c r="H307" s="12"/>
      <c r="I307" s="12" t="str">
        <f>IF($C307="","",IF(COUNTIF(Foods!$A:$A,$C307)&gt;0,"Yes","No - add nickname"))</f>
        <v/>
      </c>
    </row>
    <row r="308" ht="15.75" customHeight="1">
      <c r="A308" s="17"/>
      <c r="B308" s="12"/>
      <c r="C308" s="12"/>
      <c r="D308" s="13"/>
      <c r="E308" s="13" t="str">
        <f>IF($C308="","",IFERROR($D308*VLOOKUP($C308,Foods!$A:$E,3,FALSE),"Add to Foods"))</f>
        <v/>
      </c>
      <c r="F308" s="13" t="str">
        <f>IF($C308="","",IFERROR($D308*VLOOKUP($C308,Foods!$A:$E,4,FALSE),"Add to Foods"))</f>
        <v/>
      </c>
      <c r="G308" s="13" t="str">
        <f>IF($C308="","",IFERROR($D308*VLOOKUP($C308,Foods!$A:$E,5,FALSE),"Add to Foods"))</f>
        <v/>
      </c>
      <c r="H308" s="12"/>
      <c r="I308" s="12" t="str">
        <f>IF($C308="","",IF(COUNTIF(Foods!$A:$A,$C308)&gt;0,"Yes","No - add nickname"))</f>
        <v/>
      </c>
    </row>
    <row r="309" ht="15.75" customHeight="1">
      <c r="A309" s="17"/>
      <c r="B309" s="12"/>
      <c r="C309" s="12"/>
      <c r="D309" s="13"/>
      <c r="E309" s="13" t="str">
        <f>IF($C309="","",IFERROR($D309*VLOOKUP($C309,Foods!$A:$E,3,FALSE),"Add to Foods"))</f>
        <v/>
      </c>
      <c r="F309" s="13" t="str">
        <f>IF($C309="","",IFERROR($D309*VLOOKUP($C309,Foods!$A:$E,4,FALSE),"Add to Foods"))</f>
        <v/>
      </c>
      <c r="G309" s="13" t="str">
        <f>IF($C309="","",IFERROR($D309*VLOOKUP($C309,Foods!$A:$E,5,FALSE),"Add to Foods"))</f>
        <v/>
      </c>
      <c r="H309" s="12"/>
      <c r="I309" s="12" t="str">
        <f>IF($C309="","",IF(COUNTIF(Foods!$A:$A,$C309)&gt;0,"Yes","No - add nickname"))</f>
        <v/>
      </c>
    </row>
    <row r="310" ht="15.75" customHeight="1">
      <c r="A310" s="17"/>
      <c r="B310" s="12"/>
      <c r="C310" s="12"/>
      <c r="D310" s="13"/>
      <c r="E310" s="13" t="str">
        <f>IF($C310="","",IFERROR($D310*VLOOKUP($C310,Foods!$A:$E,3,FALSE),"Add to Foods"))</f>
        <v/>
      </c>
      <c r="F310" s="13" t="str">
        <f>IF($C310="","",IFERROR($D310*VLOOKUP($C310,Foods!$A:$E,4,FALSE),"Add to Foods"))</f>
        <v/>
      </c>
      <c r="G310" s="13" t="str">
        <f>IF($C310="","",IFERROR($D310*VLOOKUP($C310,Foods!$A:$E,5,FALSE),"Add to Foods"))</f>
        <v/>
      </c>
      <c r="H310" s="12"/>
      <c r="I310" s="12" t="str">
        <f>IF($C310="","",IF(COUNTIF(Foods!$A:$A,$C310)&gt;0,"Yes","No - add nickname"))</f>
        <v/>
      </c>
    </row>
    <row r="311" ht="15.75" customHeight="1">
      <c r="A311" s="17"/>
      <c r="B311" s="12"/>
      <c r="C311" s="12"/>
      <c r="D311" s="13"/>
      <c r="E311" s="13" t="str">
        <f>IF($C311="","",IFERROR($D311*VLOOKUP($C311,Foods!$A:$E,3,FALSE),"Add to Foods"))</f>
        <v/>
      </c>
      <c r="F311" s="13" t="str">
        <f>IF($C311="","",IFERROR($D311*VLOOKUP($C311,Foods!$A:$E,4,FALSE),"Add to Foods"))</f>
        <v/>
      </c>
      <c r="G311" s="13" t="str">
        <f>IF($C311="","",IFERROR($D311*VLOOKUP($C311,Foods!$A:$E,5,FALSE),"Add to Foods"))</f>
        <v/>
      </c>
      <c r="H311" s="12"/>
      <c r="I311" s="12" t="str">
        <f>IF($C311="","",IF(COUNTIF(Foods!$A:$A,$C311)&gt;0,"Yes","No - add nickname"))</f>
        <v/>
      </c>
    </row>
    <row r="312" ht="15.75" customHeight="1">
      <c r="A312" s="17"/>
      <c r="B312" s="12"/>
      <c r="C312" s="12"/>
      <c r="D312" s="13"/>
      <c r="E312" s="13" t="str">
        <f>IF($C312="","",IFERROR($D312*VLOOKUP($C312,Foods!$A:$E,3,FALSE),"Add to Foods"))</f>
        <v/>
      </c>
      <c r="F312" s="13" t="str">
        <f>IF($C312="","",IFERROR($D312*VLOOKUP($C312,Foods!$A:$E,4,FALSE),"Add to Foods"))</f>
        <v/>
      </c>
      <c r="G312" s="13" t="str">
        <f>IF($C312="","",IFERROR($D312*VLOOKUP($C312,Foods!$A:$E,5,FALSE),"Add to Foods"))</f>
        <v/>
      </c>
      <c r="H312" s="12"/>
      <c r="I312" s="12" t="str">
        <f>IF($C312="","",IF(COUNTIF(Foods!$A:$A,$C312)&gt;0,"Yes","No - add nickname"))</f>
        <v/>
      </c>
    </row>
    <row r="313" ht="15.75" customHeight="1">
      <c r="A313" s="17"/>
      <c r="B313" s="12"/>
      <c r="C313" s="12"/>
      <c r="D313" s="13"/>
      <c r="E313" s="13" t="str">
        <f>IF($C313="","",IFERROR($D313*VLOOKUP($C313,Foods!$A:$E,3,FALSE),"Add to Foods"))</f>
        <v/>
      </c>
      <c r="F313" s="13" t="str">
        <f>IF($C313="","",IFERROR($D313*VLOOKUP($C313,Foods!$A:$E,4,FALSE),"Add to Foods"))</f>
        <v/>
      </c>
      <c r="G313" s="13" t="str">
        <f>IF($C313="","",IFERROR($D313*VLOOKUP($C313,Foods!$A:$E,5,FALSE),"Add to Foods"))</f>
        <v/>
      </c>
      <c r="H313" s="12"/>
      <c r="I313" s="12" t="str">
        <f>IF($C313="","",IF(COUNTIF(Foods!$A:$A,$C313)&gt;0,"Yes","No - add nickname"))</f>
        <v/>
      </c>
    </row>
    <row r="314" ht="15.75" customHeight="1">
      <c r="A314" s="17"/>
      <c r="B314" s="12"/>
      <c r="C314" s="12"/>
      <c r="D314" s="13"/>
      <c r="E314" s="13" t="str">
        <f>IF($C314="","",IFERROR($D314*VLOOKUP($C314,Foods!$A:$E,3,FALSE),"Add to Foods"))</f>
        <v/>
      </c>
      <c r="F314" s="13" t="str">
        <f>IF($C314="","",IFERROR($D314*VLOOKUP($C314,Foods!$A:$E,4,FALSE),"Add to Foods"))</f>
        <v/>
      </c>
      <c r="G314" s="13" t="str">
        <f>IF($C314="","",IFERROR($D314*VLOOKUP($C314,Foods!$A:$E,5,FALSE),"Add to Foods"))</f>
        <v/>
      </c>
      <c r="H314" s="12"/>
      <c r="I314" s="12" t="str">
        <f>IF($C314="","",IF(COUNTIF(Foods!$A:$A,$C314)&gt;0,"Yes","No - add nickname"))</f>
        <v/>
      </c>
    </row>
    <row r="315" ht="15.75" customHeight="1">
      <c r="A315" s="17"/>
      <c r="B315" s="12"/>
      <c r="C315" s="12"/>
      <c r="D315" s="13"/>
      <c r="E315" s="13" t="str">
        <f>IF($C315="","",IFERROR($D315*VLOOKUP($C315,Foods!$A:$E,3,FALSE),"Add to Foods"))</f>
        <v/>
      </c>
      <c r="F315" s="13" t="str">
        <f>IF($C315="","",IFERROR($D315*VLOOKUP($C315,Foods!$A:$E,4,FALSE),"Add to Foods"))</f>
        <v/>
      </c>
      <c r="G315" s="13" t="str">
        <f>IF($C315="","",IFERROR($D315*VLOOKUP($C315,Foods!$A:$E,5,FALSE),"Add to Foods"))</f>
        <v/>
      </c>
      <c r="H315" s="12"/>
      <c r="I315" s="12" t="str">
        <f>IF($C315="","",IF(COUNTIF(Foods!$A:$A,$C315)&gt;0,"Yes","No - add nickname"))</f>
        <v/>
      </c>
    </row>
    <row r="316" ht="15.75" customHeight="1">
      <c r="A316" s="17"/>
      <c r="B316" s="12"/>
      <c r="C316" s="12"/>
      <c r="D316" s="13"/>
      <c r="E316" s="13" t="str">
        <f>IF($C316="","",IFERROR($D316*VLOOKUP($C316,Foods!$A:$E,3,FALSE),"Add to Foods"))</f>
        <v/>
      </c>
      <c r="F316" s="13" t="str">
        <f>IF($C316="","",IFERROR($D316*VLOOKUP($C316,Foods!$A:$E,4,FALSE),"Add to Foods"))</f>
        <v/>
      </c>
      <c r="G316" s="13" t="str">
        <f>IF($C316="","",IFERROR($D316*VLOOKUP($C316,Foods!$A:$E,5,FALSE),"Add to Foods"))</f>
        <v/>
      </c>
      <c r="H316" s="12"/>
      <c r="I316" s="12" t="str">
        <f>IF($C316="","",IF(COUNTIF(Foods!$A:$A,$C316)&gt;0,"Yes","No - add nickname"))</f>
        <v/>
      </c>
    </row>
    <row r="317" ht="15.75" customHeight="1">
      <c r="A317" s="17"/>
      <c r="B317" s="12"/>
      <c r="C317" s="12"/>
      <c r="D317" s="13"/>
      <c r="E317" s="13" t="str">
        <f>IF($C317="","",IFERROR($D317*VLOOKUP($C317,Foods!$A:$E,3,FALSE),"Add to Foods"))</f>
        <v/>
      </c>
      <c r="F317" s="13" t="str">
        <f>IF($C317="","",IFERROR($D317*VLOOKUP($C317,Foods!$A:$E,4,FALSE),"Add to Foods"))</f>
        <v/>
      </c>
      <c r="G317" s="13" t="str">
        <f>IF($C317="","",IFERROR($D317*VLOOKUP($C317,Foods!$A:$E,5,FALSE),"Add to Foods"))</f>
        <v/>
      </c>
      <c r="H317" s="12"/>
      <c r="I317" s="12" t="str">
        <f>IF($C317="","",IF(COUNTIF(Foods!$A:$A,$C317)&gt;0,"Yes","No - add nickname"))</f>
        <v/>
      </c>
    </row>
    <row r="318" ht="15.75" customHeight="1">
      <c r="A318" s="17"/>
      <c r="B318" s="12"/>
      <c r="C318" s="12"/>
      <c r="D318" s="13"/>
      <c r="E318" s="13" t="str">
        <f>IF($C318="","",IFERROR($D318*VLOOKUP($C318,Foods!$A:$E,3,FALSE),"Add to Foods"))</f>
        <v/>
      </c>
      <c r="F318" s="13" t="str">
        <f>IF($C318="","",IFERROR($D318*VLOOKUP($C318,Foods!$A:$E,4,FALSE),"Add to Foods"))</f>
        <v/>
      </c>
      <c r="G318" s="13" t="str">
        <f>IF($C318="","",IFERROR($D318*VLOOKUP($C318,Foods!$A:$E,5,FALSE),"Add to Foods"))</f>
        <v/>
      </c>
      <c r="H318" s="12"/>
      <c r="I318" s="12" t="str">
        <f>IF($C318="","",IF(COUNTIF(Foods!$A:$A,$C318)&gt;0,"Yes","No - add nickname"))</f>
        <v/>
      </c>
    </row>
    <row r="319" ht="15.75" customHeight="1">
      <c r="A319" s="17"/>
      <c r="B319" s="12"/>
      <c r="C319" s="12"/>
      <c r="D319" s="13"/>
      <c r="E319" s="13" t="str">
        <f>IF($C319="","",IFERROR($D319*VLOOKUP($C319,Foods!$A:$E,3,FALSE),"Add to Foods"))</f>
        <v/>
      </c>
      <c r="F319" s="13" t="str">
        <f>IF($C319="","",IFERROR($D319*VLOOKUP($C319,Foods!$A:$E,4,FALSE),"Add to Foods"))</f>
        <v/>
      </c>
      <c r="G319" s="13" t="str">
        <f>IF($C319="","",IFERROR($D319*VLOOKUP($C319,Foods!$A:$E,5,FALSE),"Add to Foods"))</f>
        <v/>
      </c>
      <c r="H319" s="12"/>
      <c r="I319" s="12" t="str">
        <f>IF($C319="","",IF(COUNTIF(Foods!$A:$A,$C319)&gt;0,"Yes","No - add nickname"))</f>
        <v/>
      </c>
    </row>
    <row r="320" ht="15.75" customHeight="1">
      <c r="A320" s="17"/>
      <c r="B320" s="12"/>
      <c r="C320" s="12"/>
      <c r="D320" s="13"/>
      <c r="E320" s="13" t="str">
        <f>IF($C320="","",IFERROR($D320*VLOOKUP($C320,Foods!$A:$E,3,FALSE),"Add to Foods"))</f>
        <v/>
      </c>
      <c r="F320" s="13" t="str">
        <f>IF($C320="","",IFERROR($D320*VLOOKUP($C320,Foods!$A:$E,4,FALSE),"Add to Foods"))</f>
        <v/>
      </c>
      <c r="G320" s="13" t="str">
        <f>IF($C320="","",IFERROR($D320*VLOOKUP($C320,Foods!$A:$E,5,FALSE),"Add to Foods"))</f>
        <v/>
      </c>
      <c r="H320" s="12"/>
      <c r="I320" s="12" t="str">
        <f>IF($C320="","",IF(COUNTIF(Foods!$A:$A,$C320)&gt;0,"Yes","No - add nickname"))</f>
        <v/>
      </c>
    </row>
    <row r="321" ht="15.75" customHeight="1">
      <c r="A321" s="17"/>
      <c r="B321" s="12"/>
      <c r="C321" s="12"/>
      <c r="D321" s="13"/>
      <c r="E321" s="13" t="str">
        <f>IF($C321="","",IFERROR($D321*VLOOKUP($C321,Foods!$A:$E,3,FALSE),"Add to Foods"))</f>
        <v/>
      </c>
      <c r="F321" s="13" t="str">
        <f>IF($C321="","",IFERROR($D321*VLOOKUP($C321,Foods!$A:$E,4,FALSE),"Add to Foods"))</f>
        <v/>
      </c>
      <c r="G321" s="13" t="str">
        <f>IF($C321="","",IFERROR($D321*VLOOKUP($C321,Foods!$A:$E,5,FALSE),"Add to Foods"))</f>
        <v/>
      </c>
      <c r="H321" s="12"/>
      <c r="I321" s="12" t="str">
        <f>IF($C321="","",IF(COUNTIF(Foods!$A:$A,$C321)&gt;0,"Yes","No - add nickname"))</f>
        <v/>
      </c>
    </row>
    <row r="322" ht="15.75" customHeight="1">
      <c r="A322" s="17"/>
      <c r="B322" s="12"/>
      <c r="C322" s="12"/>
      <c r="D322" s="13"/>
      <c r="E322" s="13" t="str">
        <f>IF($C322="","",IFERROR($D322*VLOOKUP($C322,Foods!$A:$E,3,FALSE),"Add to Foods"))</f>
        <v/>
      </c>
      <c r="F322" s="13" t="str">
        <f>IF($C322="","",IFERROR($D322*VLOOKUP($C322,Foods!$A:$E,4,FALSE),"Add to Foods"))</f>
        <v/>
      </c>
      <c r="G322" s="13" t="str">
        <f>IF($C322="","",IFERROR($D322*VLOOKUP($C322,Foods!$A:$E,5,FALSE),"Add to Foods"))</f>
        <v/>
      </c>
      <c r="H322" s="12"/>
      <c r="I322" s="12" t="str">
        <f>IF($C322="","",IF(COUNTIF(Foods!$A:$A,$C322)&gt;0,"Yes","No - add nickname"))</f>
        <v/>
      </c>
    </row>
    <row r="323" ht="15.75" customHeight="1">
      <c r="A323" s="17"/>
      <c r="B323" s="12"/>
      <c r="C323" s="12"/>
      <c r="D323" s="13"/>
      <c r="E323" s="13" t="str">
        <f>IF($C323="","",IFERROR($D323*VLOOKUP($C323,Foods!$A:$E,3,FALSE),"Add to Foods"))</f>
        <v/>
      </c>
      <c r="F323" s="13" t="str">
        <f>IF($C323="","",IFERROR($D323*VLOOKUP($C323,Foods!$A:$E,4,FALSE),"Add to Foods"))</f>
        <v/>
      </c>
      <c r="G323" s="13" t="str">
        <f>IF($C323="","",IFERROR($D323*VLOOKUP($C323,Foods!$A:$E,5,FALSE),"Add to Foods"))</f>
        <v/>
      </c>
      <c r="H323" s="12"/>
      <c r="I323" s="12" t="str">
        <f>IF($C323="","",IF(COUNTIF(Foods!$A:$A,$C323)&gt;0,"Yes","No - add nickname"))</f>
        <v/>
      </c>
    </row>
    <row r="324" ht="15.75" customHeight="1">
      <c r="A324" s="17"/>
      <c r="B324" s="12"/>
      <c r="C324" s="12"/>
      <c r="D324" s="13"/>
      <c r="E324" s="13" t="str">
        <f>IF($C324="","",IFERROR($D324*VLOOKUP($C324,Foods!$A:$E,3,FALSE),"Add to Foods"))</f>
        <v/>
      </c>
      <c r="F324" s="13" t="str">
        <f>IF($C324="","",IFERROR($D324*VLOOKUP($C324,Foods!$A:$E,4,FALSE),"Add to Foods"))</f>
        <v/>
      </c>
      <c r="G324" s="13" t="str">
        <f>IF($C324="","",IFERROR($D324*VLOOKUP($C324,Foods!$A:$E,5,FALSE),"Add to Foods"))</f>
        <v/>
      </c>
      <c r="H324" s="12"/>
      <c r="I324" s="12" t="str">
        <f>IF($C324="","",IF(COUNTIF(Foods!$A:$A,$C324)&gt;0,"Yes","No - add nickname"))</f>
        <v/>
      </c>
    </row>
    <row r="325" ht="15.75" customHeight="1">
      <c r="A325" s="17"/>
      <c r="B325" s="12"/>
      <c r="C325" s="12"/>
      <c r="D325" s="13"/>
      <c r="E325" s="13" t="str">
        <f>IF($C325="","",IFERROR($D325*VLOOKUP($C325,Foods!$A:$E,3,FALSE),"Add to Foods"))</f>
        <v/>
      </c>
      <c r="F325" s="13" t="str">
        <f>IF($C325="","",IFERROR($D325*VLOOKUP($C325,Foods!$A:$E,4,FALSE),"Add to Foods"))</f>
        <v/>
      </c>
      <c r="G325" s="13" t="str">
        <f>IF($C325="","",IFERROR($D325*VLOOKUP($C325,Foods!$A:$E,5,FALSE),"Add to Foods"))</f>
        <v/>
      </c>
      <c r="H325" s="12"/>
      <c r="I325" s="12" t="str">
        <f>IF($C325="","",IF(COUNTIF(Foods!$A:$A,$C325)&gt;0,"Yes","No - add nickname"))</f>
        <v/>
      </c>
    </row>
    <row r="326" ht="15.75" customHeight="1">
      <c r="A326" s="17"/>
      <c r="B326" s="12"/>
      <c r="C326" s="12"/>
      <c r="D326" s="13"/>
      <c r="E326" s="13" t="str">
        <f>IF($C326="","",IFERROR($D326*VLOOKUP($C326,Foods!$A:$E,3,FALSE),"Add to Foods"))</f>
        <v/>
      </c>
      <c r="F326" s="13" t="str">
        <f>IF($C326="","",IFERROR($D326*VLOOKUP($C326,Foods!$A:$E,4,FALSE),"Add to Foods"))</f>
        <v/>
      </c>
      <c r="G326" s="13" t="str">
        <f>IF($C326="","",IFERROR($D326*VLOOKUP($C326,Foods!$A:$E,5,FALSE),"Add to Foods"))</f>
        <v/>
      </c>
      <c r="H326" s="12"/>
      <c r="I326" s="12" t="str">
        <f>IF($C326="","",IF(COUNTIF(Foods!$A:$A,$C326)&gt;0,"Yes","No - add nickname"))</f>
        <v/>
      </c>
    </row>
    <row r="327" ht="15.75" customHeight="1">
      <c r="A327" s="17"/>
      <c r="B327" s="12"/>
      <c r="C327" s="12"/>
      <c r="D327" s="13"/>
      <c r="E327" s="13" t="str">
        <f>IF($C327="","",IFERROR($D327*VLOOKUP($C327,Foods!$A:$E,3,FALSE),"Add to Foods"))</f>
        <v/>
      </c>
      <c r="F327" s="13" t="str">
        <f>IF($C327="","",IFERROR($D327*VLOOKUP($C327,Foods!$A:$E,4,FALSE),"Add to Foods"))</f>
        <v/>
      </c>
      <c r="G327" s="13" t="str">
        <f>IF($C327="","",IFERROR($D327*VLOOKUP($C327,Foods!$A:$E,5,FALSE),"Add to Foods"))</f>
        <v/>
      </c>
      <c r="H327" s="12"/>
      <c r="I327" s="12" t="str">
        <f>IF($C327="","",IF(COUNTIF(Foods!$A:$A,$C327)&gt;0,"Yes","No - add nickname"))</f>
        <v/>
      </c>
    </row>
    <row r="328" ht="15.75" customHeight="1">
      <c r="A328" s="17"/>
      <c r="B328" s="12"/>
      <c r="C328" s="12"/>
      <c r="D328" s="13"/>
      <c r="E328" s="13" t="str">
        <f>IF($C328="","",IFERROR($D328*VLOOKUP($C328,Foods!$A:$E,3,FALSE),"Add to Foods"))</f>
        <v/>
      </c>
      <c r="F328" s="13" t="str">
        <f>IF($C328="","",IFERROR($D328*VLOOKUP($C328,Foods!$A:$E,4,FALSE),"Add to Foods"))</f>
        <v/>
      </c>
      <c r="G328" s="13" t="str">
        <f>IF($C328="","",IFERROR($D328*VLOOKUP($C328,Foods!$A:$E,5,FALSE),"Add to Foods"))</f>
        <v/>
      </c>
      <c r="H328" s="12"/>
      <c r="I328" s="12" t="str">
        <f>IF($C328="","",IF(COUNTIF(Foods!$A:$A,$C328)&gt;0,"Yes","No - add nickname"))</f>
        <v/>
      </c>
    </row>
    <row r="329" ht="15.75" customHeight="1">
      <c r="A329" s="17"/>
      <c r="B329" s="12"/>
      <c r="C329" s="12"/>
      <c r="D329" s="13"/>
      <c r="E329" s="13" t="str">
        <f>IF($C329="","",IFERROR($D329*VLOOKUP($C329,Foods!$A:$E,3,FALSE),"Add to Foods"))</f>
        <v/>
      </c>
      <c r="F329" s="13" t="str">
        <f>IF($C329="","",IFERROR($D329*VLOOKUP($C329,Foods!$A:$E,4,FALSE),"Add to Foods"))</f>
        <v/>
      </c>
      <c r="G329" s="13" t="str">
        <f>IF($C329="","",IFERROR($D329*VLOOKUP($C329,Foods!$A:$E,5,FALSE),"Add to Foods"))</f>
        <v/>
      </c>
      <c r="H329" s="12"/>
      <c r="I329" s="12" t="str">
        <f>IF($C329="","",IF(COUNTIF(Foods!$A:$A,$C329)&gt;0,"Yes","No - add nickname"))</f>
        <v/>
      </c>
    </row>
    <row r="330" ht="15.75" customHeight="1">
      <c r="A330" s="17"/>
      <c r="B330" s="12"/>
      <c r="C330" s="12"/>
      <c r="D330" s="13"/>
      <c r="E330" s="13" t="str">
        <f>IF($C330="","",IFERROR($D330*VLOOKUP($C330,Foods!$A:$E,3,FALSE),"Add to Foods"))</f>
        <v/>
      </c>
      <c r="F330" s="13" t="str">
        <f>IF($C330="","",IFERROR($D330*VLOOKUP($C330,Foods!$A:$E,4,FALSE),"Add to Foods"))</f>
        <v/>
      </c>
      <c r="G330" s="13" t="str">
        <f>IF($C330="","",IFERROR($D330*VLOOKUP($C330,Foods!$A:$E,5,FALSE),"Add to Foods"))</f>
        <v/>
      </c>
      <c r="H330" s="12"/>
      <c r="I330" s="12" t="str">
        <f>IF($C330="","",IF(COUNTIF(Foods!$A:$A,$C330)&gt;0,"Yes","No - add nickname"))</f>
        <v/>
      </c>
    </row>
    <row r="331" ht="15.75" customHeight="1">
      <c r="A331" s="17"/>
      <c r="B331" s="12"/>
      <c r="C331" s="12"/>
      <c r="D331" s="13"/>
      <c r="E331" s="13" t="str">
        <f>IF($C331="","",IFERROR($D331*VLOOKUP($C331,Foods!$A:$E,3,FALSE),"Add to Foods"))</f>
        <v/>
      </c>
      <c r="F331" s="13" t="str">
        <f>IF($C331="","",IFERROR($D331*VLOOKUP($C331,Foods!$A:$E,4,FALSE),"Add to Foods"))</f>
        <v/>
      </c>
      <c r="G331" s="13" t="str">
        <f>IF($C331="","",IFERROR($D331*VLOOKUP($C331,Foods!$A:$E,5,FALSE),"Add to Foods"))</f>
        <v/>
      </c>
      <c r="H331" s="12"/>
      <c r="I331" s="12" t="str">
        <f>IF($C331="","",IF(COUNTIF(Foods!$A:$A,$C331)&gt;0,"Yes","No - add nickname"))</f>
        <v/>
      </c>
    </row>
    <row r="332" ht="15.75" customHeight="1">
      <c r="A332" s="17"/>
      <c r="B332" s="12"/>
      <c r="C332" s="12"/>
      <c r="D332" s="13"/>
      <c r="E332" s="13" t="str">
        <f>IF($C332="","",IFERROR($D332*VLOOKUP($C332,Foods!$A:$E,3,FALSE),"Add to Foods"))</f>
        <v/>
      </c>
      <c r="F332" s="13" t="str">
        <f>IF($C332="","",IFERROR($D332*VLOOKUP($C332,Foods!$A:$E,4,FALSE),"Add to Foods"))</f>
        <v/>
      </c>
      <c r="G332" s="13" t="str">
        <f>IF($C332="","",IFERROR($D332*VLOOKUP($C332,Foods!$A:$E,5,FALSE),"Add to Foods"))</f>
        <v/>
      </c>
      <c r="H332" s="12"/>
      <c r="I332" s="12" t="str">
        <f>IF($C332="","",IF(COUNTIF(Foods!$A:$A,$C332)&gt;0,"Yes","No - add nickname"))</f>
        <v/>
      </c>
    </row>
    <row r="333" ht="15.75" customHeight="1">
      <c r="A333" s="17"/>
      <c r="B333" s="12"/>
      <c r="C333" s="12"/>
      <c r="D333" s="13"/>
      <c r="E333" s="13" t="str">
        <f>IF($C333="","",IFERROR($D333*VLOOKUP($C333,Foods!$A:$E,3,FALSE),"Add to Foods"))</f>
        <v/>
      </c>
      <c r="F333" s="13" t="str">
        <f>IF($C333="","",IFERROR($D333*VLOOKUP($C333,Foods!$A:$E,4,FALSE),"Add to Foods"))</f>
        <v/>
      </c>
      <c r="G333" s="13" t="str">
        <f>IF($C333="","",IFERROR($D333*VLOOKUP($C333,Foods!$A:$E,5,FALSE),"Add to Foods"))</f>
        <v/>
      </c>
      <c r="H333" s="12"/>
      <c r="I333" s="12" t="str">
        <f>IF($C333="","",IF(COUNTIF(Foods!$A:$A,$C333)&gt;0,"Yes","No - add nickname"))</f>
        <v/>
      </c>
    </row>
    <row r="334" ht="15.75" customHeight="1">
      <c r="A334" s="17"/>
      <c r="B334" s="12"/>
      <c r="C334" s="12"/>
      <c r="D334" s="13"/>
      <c r="E334" s="13" t="str">
        <f>IF($C334="","",IFERROR($D334*VLOOKUP($C334,Foods!$A:$E,3,FALSE),"Add to Foods"))</f>
        <v/>
      </c>
      <c r="F334" s="13" t="str">
        <f>IF($C334="","",IFERROR($D334*VLOOKUP($C334,Foods!$A:$E,4,FALSE),"Add to Foods"))</f>
        <v/>
      </c>
      <c r="G334" s="13" t="str">
        <f>IF($C334="","",IFERROR($D334*VLOOKUP($C334,Foods!$A:$E,5,FALSE),"Add to Foods"))</f>
        <v/>
      </c>
      <c r="H334" s="12"/>
      <c r="I334" s="12" t="str">
        <f>IF($C334="","",IF(COUNTIF(Foods!$A:$A,$C334)&gt;0,"Yes","No - add nickname"))</f>
        <v/>
      </c>
    </row>
    <row r="335" ht="15.75" customHeight="1">
      <c r="A335" s="17"/>
      <c r="B335" s="12"/>
      <c r="C335" s="12"/>
      <c r="D335" s="13"/>
      <c r="E335" s="13" t="str">
        <f>IF($C335="","",IFERROR($D335*VLOOKUP($C335,Foods!$A:$E,3,FALSE),"Add to Foods"))</f>
        <v/>
      </c>
      <c r="F335" s="13" t="str">
        <f>IF($C335="","",IFERROR($D335*VLOOKUP($C335,Foods!$A:$E,4,FALSE),"Add to Foods"))</f>
        <v/>
      </c>
      <c r="G335" s="13" t="str">
        <f>IF($C335="","",IFERROR($D335*VLOOKUP($C335,Foods!$A:$E,5,FALSE),"Add to Foods"))</f>
        <v/>
      </c>
      <c r="H335" s="12"/>
      <c r="I335" s="12" t="str">
        <f>IF($C335="","",IF(COUNTIF(Foods!$A:$A,$C335)&gt;0,"Yes","No - add nickname"))</f>
        <v/>
      </c>
    </row>
    <row r="336" ht="15.75" customHeight="1">
      <c r="A336" s="17"/>
      <c r="B336" s="12"/>
      <c r="C336" s="12"/>
      <c r="D336" s="13"/>
      <c r="E336" s="13" t="str">
        <f>IF($C336="","",IFERROR($D336*VLOOKUP($C336,Foods!$A:$E,3,FALSE),"Add to Foods"))</f>
        <v/>
      </c>
      <c r="F336" s="13" t="str">
        <f>IF($C336="","",IFERROR($D336*VLOOKUP($C336,Foods!$A:$E,4,FALSE),"Add to Foods"))</f>
        <v/>
      </c>
      <c r="G336" s="13" t="str">
        <f>IF($C336="","",IFERROR($D336*VLOOKUP($C336,Foods!$A:$E,5,FALSE),"Add to Foods"))</f>
        <v/>
      </c>
      <c r="H336" s="12"/>
      <c r="I336" s="12" t="str">
        <f>IF($C336="","",IF(COUNTIF(Foods!$A:$A,$C336)&gt;0,"Yes","No - add nickname"))</f>
        <v/>
      </c>
    </row>
    <row r="337" ht="15.75" customHeight="1">
      <c r="A337" s="17"/>
      <c r="B337" s="12"/>
      <c r="C337" s="12"/>
      <c r="D337" s="13"/>
      <c r="E337" s="13" t="str">
        <f>IF($C337="","",IFERROR($D337*VLOOKUP($C337,Foods!$A:$E,3,FALSE),"Add to Foods"))</f>
        <v/>
      </c>
      <c r="F337" s="13" t="str">
        <f>IF($C337="","",IFERROR($D337*VLOOKUP($C337,Foods!$A:$E,4,FALSE),"Add to Foods"))</f>
        <v/>
      </c>
      <c r="G337" s="13" t="str">
        <f>IF($C337="","",IFERROR($D337*VLOOKUP($C337,Foods!$A:$E,5,FALSE),"Add to Foods"))</f>
        <v/>
      </c>
      <c r="H337" s="12"/>
      <c r="I337" s="12" t="str">
        <f>IF($C337="","",IF(COUNTIF(Foods!$A:$A,$C337)&gt;0,"Yes","No - add nickname"))</f>
        <v/>
      </c>
    </row>
    <row r="338" ht="15.75" customHeight="1">
      <c r="A338" s="17"/>
      <c r="B338" s="12"/>
      <c r="C338" s="12"/>
      <c r="D338" s="13"/>
      <c r="E338" s="13" t="str">
        <f>IF($C338="","",IFERROR($D338*VLOOKUP($C338,Foods!$A:$E,3,FALSE),"Add to Foods"))</f>
        <v/>
      </c>
      <c r="F338" s="13" t="str">
        <f>IF($C338="","",IFERROR($D338*VLOOKUP($C338,Foods!$A:$E,4,FALSE),"Add to Foods"))</f>
        <v/>
      </c>
      <c r="G338" s="13" t="str">
        <f>IF($C338="","",IFERROR($D338*VLOOKUP($C338,Foods!$A:$E,5,FALSE),"Add to Foods"))</f>
        <v/>
      </c>
      <c r="H338" s="12"/>
      <c r="I338" s="12" t="str">
        <f>IF($C338="","",IF(COUNTIF(Foods!$A:$A,$C338)&gt;0,"Yes","No - add nickname"))</f>
        <v/>
      </c>
    </row>
    <row r="339" ht="15.75" customHeight="1">
      <c r="A339" s="17"/>
      <c r="B339" s="12"/>
      <c r="C339" s="12"/>
      <c r="D339" s="13"/>
      <c r="E339" s="13" t="str">
        <f>IF($C339="","",IFERROR($D339*VLOOKUP($C339,Foods!$A:$E,3,FALSE),"Add to Foods"))</f>
        <v/>
      </c>
      <c r="F339" s="13" t="str">
        <f>IF($C339="","",IFERROR($D339*VLOOKUP($C339,Foods!$A:$E,4,FALSE),"Add to Foods"))</f>
        <v/>
      </c>
      <c r="G339" s="13" t="str">
        <f>IF($C339="","",IFERROR($D339*VLOOKUP($C339,Foods!$A:$E,5,FALSE),"Add to Foods"))</f>
        <v/>
      </c>
      <c r="H339" s="12"/>
      <c r="I339" s="12" t="str">
        <f>IF($C339="","",IF(COUNTIF(Foods!$A:$A,$C339)&gt;0,"Yes","No - add nickname"))</f>
        <v/>
      </c>
    </row>
    <row r="340" ht="15.75" customHeight="1">
      <c r="A340" s="17"/>
      <c r="B340" s="12"/>
      <c r="C340" s="12"/>
      <c r="D340" s="13"/>
      <c r="E340" s="13" t="str">
        <f>IF($C340="","",IFERROR($D340*VLOOKUP($C340,Foods!$A:$E,3,FALSE),"Add to Foods"))</f>
        <v/>
      </c>
      <c r="F340" s="13" t="str">
        <f>IF($C340="","",IFERROR($D340*VLOOKUP($C340,Foods!$A:$E,4,FALSE),"Add to Foods"))</f>
        <v/>
      </c>
      <c r="G340" s="13" t="str">
        <f>IF($C340="","",IFERROR($D340*VLOOKUP($C340,Foods!$A:$E,5,FALSE),"Add to Foods"))</f>
        <v/>
      </c>
      <c r="H340" s="12"/>
      <c r="I340" s="12" t="str">
        <f>IF($C340="","",IF(COUNTIF(Foods!$A:$A,$C340)&gt;0,"Yes","No - add nickname"))</f>
        <v/>
      </c>
    </row>
    <row r="341" ht="15.75" customHeight="1">
      <c r="A341" s="17"/>
      <c r="B341" s="12"/>
      <c r="C341" s="12"/>
      <c r="D341" s="13"/>
      <c r="E341" s="13" t="str">
        <f>IF($C341="","",IFERROR($D341*VLOOKUP($C341,Foods!$A:$E,3,FALSE),"Add to Foods"))</f>
        <v/>
      </c>
      <c r="F341" s="13" t="str">
        <f>IF($C341="","",IFERROR($D341*VLOOKUP($C341,Foods!$A:$E,4,FALSE),"Add to Foods"))</f>
        <v/>
      </c>
      <c r="G341" s="13" t="str">
        <f>IF($C341="","",IFERROR($D341*VLOOKUP($C341,Foods!$A:$E,5,FALSE),"Add to Foods"))</f>
        <v/>
      </c>
      <c r="H341" s="12"/>
      <c r="I341" s="12" t="str">
        <f>IF($C341="","",IF(COUNTIF(Foods!$A:$A,$C341)&gt;0,"Yes","No - add nickname"))</f>
        <v/>
      </c>
    </row>
    <row r="342" ht="15.75" customHeight="1">
      <c r="A342" s="17"/>
      <c r="B342" s="12"/>
      <c r="C342" s="12"/>
      <c r="D342" s="13"/>
      <c r="E342" s="13" t="str">
        <f>IF($C342="","",IFERROR($D342*VLOOKUP($C342,Foods!$A:$E,3,FALSE),"Add to Foods"))</f>
        <v/>
      </c>
      <c r="F342" s="13" t="str">
        <f>IF($C342="","",IFERROR($D342*VLOOKUP($C342,Foods!$A:$E,4,FALSE),"Add to Foods"))</f>
        <v/>
      </c>
      <c r="G342" s="13" t="str">
        <f>IF($C342="","",IFERROR($D342*VLOOKUP($C342,Foods!$A:$E,5,FALSE),"Add to Foods"))</f>
        <v/>
      </c>
      <c r="H342" s="12"/>
      <c r="I342" s="12" t="str">
        <f>IF($C342="","",IF(COUNTIF(Foods!$A:$A,$C342)&gt;0,"Yes","No - add nickname"))</f>
        <v/>
      </c>
    </row>
    <row r="343" ht="15.75" customHeight="1">
      <c r="A343" s="17"/>
      <c r="B343" s="12"/>
      <c r="C343" s="12"/>
      <c r="D343" s="13"/>
      <c r="E343" s="13" t="str">
        <f>IF($C343="","",IFERROR($D343*VLOOKUP($C343,Foods!$A:$E,3,FALSE),"Add to Foods"))</f>
        <v/>
      </c>
      <c r="F343" s="13" t="str">
        <f>IF($C343="","",IFERROR($D343*VLOOKUP($C343,Foods!$A:$E,4,FALSE),"Add to Foods"))</f>
        <v/>
      </c>
      <c r="G343" s="13" t="str">
        <f>IF($C343="","",IFERROR($D343*VLOOKUP($C343,Foods!$A:$E,5,FALSE),"Add to Foods"))</f>
        <v/>
      </c>
      <c r="H343" s="12"/>
      <c r="I343" s="12" t="str">
        <f>IF($C343="","",IF(COUNTIF(Foods!$A:$A,$C343)&gt;0,"Yes","No - add nickname"))</f>
        <v/>
      </c>
    </row>
    <row r="344" ht="15.75" customHeight="1">
      <c r="A344" s="17"/>
      <c r="B344" s="12"/>
      <c r="C344" s="12"/>
      <c r="D344" s="13"/>
      <c r="E344" s="13" t="str">
        <f>IF($C344="","",IFERROR($D344*VLOOKUP($C344,Foods!$A:$E,3,FALSE),"Add to Foods"))</f>
        <v/>
      </c>
      <c r="F344" s="13" t="str">
        <f>IF($C344="","",IFERROR($D344*VLOOKUP($C344,Foods!$A:$E,4,FALSE),"Add to Foods"))</f>
        <v/>
      </c>
      <c r="G344" s="13" t="str">
        <f>IF($C344="","",IFERROR($D344*VLOOKUP($C344,Foods!$A:$E,5,FALSE),"Add to Foods"))</f>
        <v/>
      </c>
      <c r="H344" s="12"/>
      <c r="I344" s="12" t="str">
        <f>IF($C344="","",IF(COUNTIF(Foods!$A:$A,$C344)&gt;0,"Yes","No - add nickname"))</f>
        <v/>
      </c>
    </row>
    <row r="345" ht="15.75" customHeight="1">
      <c r="A345" s="17"/>
      <c r="B345" s="12"/>
      <c r="C345" s="12"/>
      <c r="D345" s="13"/>
      <c r="E345" s="13" t="str">
        <f>IF($C345="","",IFERROR($D345*VLOOKUP($C345,Foods!$A:$E,3,FALSE),"Add to Foods"))</f>
        <v/>
      </c>
      <c r="F345" s="13" t="str">
        <f>IF($C345="","",IFERROR($D345*VLOOKUP($C345,Foods!$A:$E,4,FALSE),"Add to Foods"))</f>
        <v/>
      </c>
      <c r="G345" s="13" t="str">
        <f>IF($C345="","",IFERROR($D345*VLOOKUP($C345,Foods!$A:$E,5,FALSE),"Add to Foods"))</f>
        <v/>
      </c>
      <c r="H345" s="12"/>
      <c r="I345" s="12" t="str">
        <f>IF($C345="","",IF(COUNTIF(Foods!$A:$A,$C345)&gt;0,"Yes","No - add nickname"))</f>
        <v/>
      </c>
    </row>
    <row r="346" ht="15.75" customHeight="1">
      <c r="A346" s="17"/>
      <c r="B346" s="12"/>
      <c r="C346" s="12"/>
      <c r="D346" s="13"/>
      <c r="E346" s="13" t="str">
        <f>IF($C346="","",IFERROR($D346*VLOOKUP($C346,Foods!$A:$E,3,FALSE),"Add to Foods"))</f>
        <v/>
      </c>
      <c r="F346" s="13" t="str">
        <f>IF($C346="","",IFERROR($D346*VLOOKUP($C346,Foods!$A:$E,4,FALSE),"Add to Foods"))</f>
        <v/>
      </c>
      <c r="G346" s="13" t="str">
        <f>IF($C346="","",IFERROR($D346*VLOOKUP($C346,Foods!$A:$E,5,FALSE),"Add to Foods"))</f>
        <v/>
      </c>
      <c r="H346" s="12"/>
      <c r="I346" s="12" t="str">
        <f>IF($C346="","",IF(COUNTIF(Foods!$A:$A,$C346)&gt;0,"Yes","No - add nickname"))</f>
        <v/>
      </c>
    </row>
    <row r="347" ht="15.75" customHeight="1">
      <c r="A347" s="17"/>
      <c r="B347" s="12"/>
      <c r="C347" s="12"/>
      <c r="D347" s="13"/>
      <c r="E347" s="13" t="str">
        <f>IF($C347="","",IFERROR($D347*VLOOKUP($C347,Foods!$A:$E,3,FALSE),"Add to Foods"))</f>
        <v/>
      </c>
      <c r="F347" s="13" t="str">
        <f>IF($C347="","",IFERROR($D347*VLOOKUP($C347,Foods!$A:$E,4,FALSE),"Add to Foods"))</f>
        <v/>
      </c>
      <c r="G347" s="13" t="str">
        <f>IF($C347="","",IFERROR($D347*VLOOKUP($C347,Foods!$A:$E,5,FALSE),"Add to Foods"))</f>
        <v/>
      </c>
      <c r="H347" s="12"/>
      <c r="I347" s="12" t="str">
        <f>IF($C347="","",IF(COUNTIF(Foods!$A:$A,$C347)&gt;0,"Yes","No - add nickname"))</f>
        <v/>
      </c>
    </row>
    <row r="348" ht="15.75" customHeight="1">
      <c r="A348" s="17"/>
      <c r="B348" s="12"/>
      <c r="C348" s="12"/>
      <c r="D348" s="13"/>
      <c r="E348" s="13" t="str">
        <f>IF($C348="","",IFERROR($D348*VLOOKUP($C348,Foods!$A:$E,3,FALSE),"Add to Foods"))</f>
        <v/>
      </c>
      <c r="F348" s="13" t="str">
        <f>IF($C348="","",IFERROR($D348*VLOOKUP($C348,Foods!$A:$E,4,FALSE),"Add to Foods"))</f>
        <v/>
      </c>
      <c r="G348" s="13" t="str">
        <f>IF($C348="","",IFERROR($D348*VLOOKUP($C348,Foods!$A:$E,5,FALSE),"Add to Foods"))</f>
        <v/>
      </c>
      <c r="H348" s="12"/>
      <c r="I348" s="12" t="str">
        <f>IF($C348="","",IF(COUNTIF(Foods!$A:$A,$C348)&gt;0,"Yes","No - add nickname"))</f>
        <v/>
      </c>
    </row>
    <row r="349" ht="15.75" customHeight="1">
      <c r="A349" s="17"/>
      <c r="B349" s="12"/>
      <c r="C349" s="12"/>
      <c r="D349" s="13"/>
      <c r="E349" s="13" t="str">
        <f>IF($C349="","",IFERROR($D349*VLOOKUP($C349,Foods!$A:$E,3,FALSE),"Add to Foods"))</f>
        <v/>
      </c>
      <c r="F349" s="13" t="str">
        <f>IF($C349="","",IFERROR($D349*VLOOKUP($C349,Foods!$A:$E,4,FALSE),"Add to Foods"))</f>
        <v/>
      </c>
      <c r="G349" s="13" t="str">
        <f>IF($C349="","",IFERROR($D349*VLOOKUP($C349,Foods!$A:$E,5,FALSE),"Add to Foods"))</f>
        <v/>
      </c>
      <c r="H349" s="12"/>
      <c r="I349" s="12" t="str">
        <f>IF($C349="","",IF(COUNTIF(Foods!$A:$A,$C349)&gt;0,"Yes","No - add nickname"))</f>
        <v/>
      </c>
    </row>
    <row r="350" ht="15.75" customHeight="1">
      <c r="A350" s="17"/>
      <c r="B350" s="12"/>
      <c r="C350" s="12"/>
      <c r="D350" s="13"/>
      <c r="E350" s="13" t="str">
        <f>IF($C350="","",IFERROR($D350*VLOOKUP($C350,Foods!$A:$E,3,FALSE),"Add to Foods"))</f>
        <v/>
      </c>
      <c r="F350" s="13" t="str">
        <f>IF($C350="","",IFERROR($D350*VLOOKUP($C350,Foods!$A:$E,4,FALSE),"Add to Foods"))</f>
        <v/>
      </c>
      <c r="G350" s="13" t="str">
        <f>IF($C350="","",IFERROR($D350*VLOOKUP($C350,Foods!$A:$E,5,FALSE),"Add to Foods"))</f>
        <v/>
      </c>
      <c r="H350" s="12"/>
      <c r="I350" s="12" t="str">
        <f>IF($C350="","",IF(COUNTIF(Foods!$A:$A,$C350)&gt;0,"Yes","No - add nickname"))</f>
        <v/>
      </c>
    </row>
    <row r="351" ht="15.75" customHeight="1">
      <c r="A351" s="17"/>
      <c r="B351" s="12"/>
      <c r="C351" s="12"/>
      <c r="D351" s="13"/>
      <c r="E351" s="13" t="str">
        <f>IF($C351="","",IFERROR($D351*VLOOKUP($C351,Foods!$A:$E,3,FALSE),"Add to Foods"))</f>
        <v/>
      </c>
      <c r="F351" s="13" t="str">
        <f>IF($C351="","",IFERROR($D351*VLOOKUP($C351,Foods!$A:$E,4,FALSE),"Add to Foods"))</f>
        <v/>
      </c>
      <c r="G351" s="13" t="str">
        <f>IF($C351="","",IFERROR($D351*VLOOKUP($C351,Foods!$A:$E,5,FALSE),"Add to Foods"))</f>
        <v/>
      </c>
      <c r="H351" s="12"/>
      <c r="I351" s="12" t="str">
        <f>IF($C351="","",IF(COUNTIF(Foods!$A:$A,$C351)&gt;0,"Yes","No - add nickname"))</f>
        <v/>
      </c>
    </row>
    <row r="352" ht="15.75" customHeight="1">
      <c r="A352" s="17"/>
      <c r="B352" s="12"/>
      <c r="C352" s="12"/>
      <c r="D352" s="13"/>
      <c r="E352" s="13" t="str">
        <f>IF($C352="","",IFERROR($D352*VLOOKUP($C352,Foods!$A:$E,3,FALSE),"Add to Foods"))</f>
        <v/>
      </c>
      <c r="F352" s="13" t="str">
        <f>IF($C352="","",IFERROR($D352*VLOOKUP($C352,Foods!$A:$E,4,FALSE),"Add to Foods"))</f>
        <v/>
      </c>
      <c r="G352" s="13" t="str">
        <f>IF($C352="","",IFERROR($D352*VLOOKUP($C352,Foods!$A:$E,5,FALSE),"Add to Foods"))</f>
        <v/>
      </c>
      <c r="H352" s="12"/>
      <c r="I352" s="12" t="str">
        <f>IF($C352="","",IF(COUNTIF(Foods!$A:$A,$C352)&gt;0,"Yes","No - add nickname"))</f>
        <v/>
      </c>
    </row>
    <row r="353" ht="15.75" customHeight="1">
      <c r="A353" s="17"/>
      <c r="B353" s="12"/>
      <c r="C353" s="12"/>
      <c r="D353" s="13"/>
      <c r="E353" s="13" t="str">
        <f>IF($C353="","",IFERROR($D353*VLOOKUP($C353,Foods!$A:$E,3,FALSE),"Add to Foods"))</f>
        <v/>
      </c>
      <c r="F353" s="13" t="str">
        <f>IF($C353="","",IFERROR($D353*VLOOKUP($C353,Foods!$A:$E,4,FALSE),"Add to Foods"))</f>
        <v/>
      </c>
      <c r="G353" s="13" t="str">
        <f>IF($C353="","",IFERROR($D353*VLOOKUP($C353,Foods!$A:$E,5,FALSE),"Add to Foods"))</f>
        <v/>
      </c>
      <c r="H353" s="12"/>
      <c r="I353" s="12" t="str">
        <f>IF($C353="","",IF(COUNTIF(Foods!$A:$A,$C353)&gt;0,"Yes","No - add nickname"))</f>
        <v/>
      </c>
    </row>
    <row r="354" ht="15.75" customHeight="1">
      <c r="A354" s="17"/>
      <c r="B354" s="12"/>
      <c r="C354" s="12"/>
      <c r="D354" s="13"/>
      <c r="E354" s="13" t="str">
        <f>IF($C354="","",IFERROR($D354*VLOOKUP($C354,Foods!$A:$E,3,FALSE),"Add to Foods"))</f>
        <v/>
      </c>
      <c r="F354" s="13" t="str">
        <f>IF($C354="","",IFERROR($D354*VLOOKUP($C354,Foods!$A:$E,4,FALSE),"Add to Foods"))</f>
        <v/>
      </c>
      <c r="G354" s="13" t="str">
        <f>IF($C354="","",IFERROR($D354*VLOOKUP($C354,Foods!$A:$E,5,FALSE),"Add to Foods"))</f>
        <v/>
      </c>
      <c r="H354" s="12"/>
      <c r="I354" s="12" t="str">
        <f>IF($C354="","",IF(COUNTIF(Foods!$A:$A,$C354)&gt;0,"Yes","No - add nickname"))</f>
        <v/>
      </c>
    </row>
    <row r="355" ht="15.75" customHeight="1">
      <c r="A355" s="17"/>
      <c r="B355" s="12"/>
      <c r="C355" s="12"/>
      <c r="D355" s="13"/>
      <c r="E355" s="13" t="str">
        <f>IF($C355="","",IFERROR($D355*VLOOKUP($C355,Foods!$A:$E,3,FALSE),"Add to Foods"))</f>
        <v/>
      </c>
      <c r="F355" s="13" t="str">
        <f>IF($C355="","",IFERROR($D355*VLOOKUP($C355,Foods!$A:$E,4,FALSE),"Add to Foods"))</f>
        <v/>
      </c>
      <c r="G355" s="13" t="str">
        <f>IF($C355="","",IFERROR($D355*VLOOKUP($C355,Foods!$A:$E,5,FALSE),"Add to Foods"))</f>
        <v/>
      </c>
      <c r="H355" s="12"/>
      <c r="I355" s="12" t="str">
        <f>IF($C355="","",IF(COUNTIF(Foods!$A:$A,$C355)&gt;0,"Yes","No - add nickname"))</f>
        <v/>
      </c>
    </row>
    <row r="356" ht="15.75" customHeight="1">
      <c r="A356" s="17"/>
      <c r="B356" s="12"/>
      <c r="C356" s="12"/>
      <c r="D356" s="13"/>
      <c r="E356" s="13" t="str">
        <f>IF($C356="","",IFERROR($D356*VLOOKUP($C356,Foods!$A:$E,3,FALSE),"Add to Foods"))</f>
        <v/>
      </c>
      <c r="F356" s="13" t="str">
        <f>IF($C356="","",IFERROR($D356*VLOOKUP($C356,Foods!$A:$E,4,FALSE),"Add to Foods"))</f>
        <v/>
      </c>
      <c r="G356" s="13" t="str">
        <f>IF($C356="","",IFERROR($D356*VLOOKUP($C356,Foods!$A:$E,5,FALSE),"Add to Foods"))</f>
        <v/>
      </c>
      <c r="H356" s="12"/>
      <c r="I356" s="12" t="str">
        <f>IF($C356="","",IF(COUNTIF(Foods!$A:$A,$C356)&gt;0,"Yes","No - add nickname"))</f>
        <v/>
      </c>
    </row>
    <row r="357" ht="15.75" customHeight="1">
      <c r="A357" s="17"/>
      <c r="B357" s="12"/>
      <c r="C357" s="12"/>
      <c r="D357" s="13"/>
      <c r="E357" s="13" t="str">
        <f>IF($C357="","",IFERROR($D357*VLOOKUP($C357,Foods!$A:$E,3,FALSE),"Add to Foods"))</f>
        <v/>
      </c>
      <c r="F357" s="13" t="str">
        <f>IF($C357="","",IFERROR($D357*VLOOKUP($C357,Foods!$A:$E,4,FALSE),"Add to Foods"))</f>
        <v/>
      </c>
      <c r="G357" s="13" t="str">
        <f>IF($C357="","",IFERROR($D357*VLOOKUP($C357,Foods!$A:$E,5,FALSE),"Add to Foods"))</f>
        <v/>
      </c>
      <c r="H357" s="12"/>
      <c r="I357" s="12" t="str">
        <f>IF($C357="","",IF(COUNTIF(Foods!$A:$A,$C357)&gt;0,"Yes","No - add nickname"))</f>
        <v/>
      </c>
    </row>
    <row r="358" ht="15.75" customHeight="1">
      <c r="A358" s="17"/>
      <c r="B358" s="12"/>
      <c r="C358" s="12"/>
      <c r="D358" s="13"/>
      <c r="E358" s="13" t="str">
        <f>IF($C358="","",IFERROR($D358*VLOOKUP($C358,Foods!$A:$E,3,FALSE),"Add to Foods"))</f>
        <v/>
      </c>
      <c r="F358" s="13" t="str">
        <f>IF($C358="","",IFERROR($D358*VLOOKUP($C358,Foods!$A:$E,4,FALSE),"Add to Foods"))</f>
        <v/>
      </c>
      <c r="G358" s="13" t="str">
        <f>IF($C358="","",IFERROR($D358*VLOOKUP($C358,Foods!$A:$E,5,FALSE),"Add to Foods"))</f>
        <v/>
      </c>
      <c r="H358" s="12"/>
      <c r="I358" s="12" t="str">
        <f>IF($C358="","",IF(COUNTIF(Foods!$A:$A,$C358)&gt;0,"Yes","No - add nickname"))</f>
        <v/>
      </c>
    </row>
    <row r="359" ht="15.75" customHeight="1">
      <c r="A359" s="17"/>
      <c r="B359" s="12"/>
      <c r="C359" s="12"/>
      <c r="D359" s="13"/>
      <c r="E359" s="13" t="str">
        <f>IF($C359="","",IFERROR($D359*VLOOKUP($C359,Foods!$A:$E,3,FALSE),"Add to Foods"))</f>
        <v/>
      </c>
      <c r="F359" s="13" t="str">
        <f>IF($C359="","",IFERROR($D359*VLOOKUP($C359,Foods!$A:$E,4,FALSE),"Add to Foods"))</f>
        <v/>
      </c>
      <c r="G359" s="13" t="str">
        <f>IF($C359="","",IFERROR($D359*VLOOKUP($C359,Foods!$A:$E,5,FALSE),"Add to Foods"))</f>
        <v/>
      </c>
      <c r="H359" s="12"/>
      <c r="I359" s="12" t="str">
        <f>IF($C359="","",IF(COUNTIF(Foods!$A:$A,$C359)&gt;0,"Yes","No - add nickname"))</f>
        <v/>
      </c>
    </row>
    <row r="360" ht="15.75" customHeight="1">
      <c r="A360" s="17"/>
      <c r="B360" s="12"/>
      <c r="C360" s="12"/>
      <c r="D360" s="13"/>
      <c r="E360" s="13" t="str">
        <f>IF($C360="","",IFERROR($D360*VLOOKUP($C360,Foods!$A:$E,3,FALSE),"Add to Foods"))</f>
        <v/>
      </c>
      <c r="F360" s="13" t="str">
        <f>IF($C360="","",IFERROR($D360*VLOOKUP($C360,Foods!$A:$E,4,FALSE),"Add to Foods"))</f>
        <v/>
      </c>
      <c r="G360" s="13" t="str">
        <f>IF($C360="","",IFERROR($D360*VLOOKUP($C360,Foods!$A:$E,5,FALSE),"Add to Foods"))</f>
        <v/>
      </c>
      <c r="H360" s="12"/>
      <c r="I360" s="12" t="str">
        <f>IF($C360="","",IF(COUNTIF(Foods!$A:$A,$C360)&gt;0,"Yes","No - add nickname"))</f>
        <v/>
      </c>
    </row>
    <row r="361" ht="15.75" customHeight="1">
      <c r="A361" s="17"/>
      <c r="B361" s="12"/>
      <c r="C361" s="12"/>
      <c r="D361" s="13"/>
      <c r="E361" s="13" t="str">
        <f>IF($C361="","",IFERROR($D361*VLOOKUP($C361,Foods!$A:$E,3,FALSE),"Add to Foods"))</f>
        <v/>
      </c>
      <c r="F361" s="13" t="str">
        <f>IF($C361="","",IFERROR($D361*VLOOKUP($C361,Foods!$A:$E,4,FALSE),"Add to Foods"))</f>
        <v/>
      </c>
      <c r="G361" s="13" t="str">
        <f>IF($C361="","",IFERROR($D361*VLOOKUP($C361,Foods!$A:$E,5,FALSE),"Add to Foods"))</f>
        <v/>
      </c>
      <c r="H361" s="12"/>
      <c r="I361" s="12" t="str">
        <f>IF($C361="","",IF(COUNTIF(Foods!$A:$A,$C361)&gt;0,"Yes","No - add nickname"))</f>
        <v/>
      </c>
    </row>
    <row r="362" ht="15.75" customHeight="1">
      <c r="A362" s="17"/>
      <c r="B362" s="12"/>
      <c r="C362" s="12"/>
      <c r="D362" s="13"/>
      <c r="E362" s="13" t="str">
        <f>IF($C362="","",IFERROR($D362*VLOOKUP($C362,Foods!$A:$E,3,FALSE),"Add to Foods"))</f>
        <v/>
      </c>
      <c r="F362" s="13" t="str">
        <f>IF($C362="","",IFERROR($D362*VLOOKUP($C362,Foods!$A:$E,4,FALSE),"Add to Foods"))</f>
        <v/>
      </c>
      <c r="G362" s="13" t="str">
        <f>IF($C362="","",IFERROR($D362*VLOOKUP($C362,Foods!$A:$E,5,FALSE),"Add to Foods"))</f>
        <v/>
      </c>
      <c r="H362" s="12"/>
      <c r="I362" s="12" t="str">
        <f>IF($C362="","",IF(COUNTIF(Foods!$A:$A,$C362)&gt;0,"Yes","No - add nickname"))</f>
        <v/>
      </c>
    </row>
    <row r="363" ht="15.75" customHeight="1">
      <c r="A363" s="17"/>
      <c r="B363" s="12"/>
      <c r="C363" s="12"/>
      <c r="D363" s="13"/>
      <c r="E363" s="13" t="str">
        <f>IF($C363="","",IFERROR($D363*VLOOKUP($C363,Foods!$A:$E,3,FALSE),"Add to Foods"))</f>
        <v/>
      </c>
      <c r="F363" s="13" t="str">
        <f>IF($C363="","",IFERROR($D363*VLOOKUP($C363,Foods!$A:$E,4,FALSE),"Add to Foods"))</f>
        <v/>
      </c>
      <c r="G363" s="13" t="str">
        <f>IF($C363="","",IFERROR($D363*VLOOKUP($C363,Foods!$A:$E,5,FALSE),"Add to Foods"))</f>
        <v/>
      </c>
      <c r="H363" s="12"/>
      <c r="I363" s="12" t="str">
        <f>IF($C363="","",IF(COUNTIF(Foods!$A:$A,$C363)&gt;0,"Yes","No - add nickname"))</f>
        <v/>
      </c>
    </row>
    <row r="364" ht="15.75" customHeight="1">
      <c r="A364" s="17"/>
      <c r="B364" s="12"/>
      <c r="C364" s="12"/>
      <c r="D364" s="13"/>
      <c r="E364" s="13" t="str">
        <f>IF($C364="","",IFERROR($D364*VLOOKUP($C364,Foods!$A:$E,3,FALSE),"Add to Foods"))</f>
        <v/>
      </c>
      <c r="F364" s="13" t="str">
        <f>IF($C364="","",IFERROR($D364*VLOOKUP($C364,Foods!$A:$E,4,FALSE),"Add to Foods"))</f>
        <v/>
      </c>
      <c r="G364" s="13" t="str">
        <f>IF($C364="","",IFERROR($D364*VLOOKUP($C364,Foods!$A:$E,5,FALSE),"Add to Foods"))</f>
        <v/>
      </c>
      <c r="H364" s="12"/>
      <c r="I364" s="12" t="str">
        <f>IF($C364="","",IF(COUNTIF(Foods!$A:$A,$C364)&gt;0,"Yes","No - add nickname"))</f>
        <v/>
      </c>
    </row>
    <row r="365" ht="15.75" customHeight="1">
      <c r="A365" s="17"/>
      <c r="B365" s="12"/>
      <c r="C365" s="12"/>
      <c r="D365" s="13"/>
      <c r="E365" s="13" t="str">
        <f>IF($C365="","",IFERROR($D365*VLOOKUP($C365,Foods!$A:$E,3,FALSE),"Add to Foods"))</f>
        <v/>
      </c>
      <c r="F365" s="13" t="str">
        <f>IF($C365="","",IFERROR($D365*VLOOKUP($C365,Foods!$A:$E,4,FALSE),"Add to Foods"))</f>
        <v/>
      </c>
      <c r="G365" s="13" t="str">
        <f>IF($C365="","",IFERROR($D365*VLOOKUP($C365,Foods!$A:$E,5,FALSE),"Add to Foods"))</f>
        <v/>
      </c>
      <c r="H365" s="12"/>
      <c r="I365" s="12" t="str">
        <f>IF($C365="","",IF(COUNTIF(Foods!$A:$A,$C365)&gt;0,"Yes","No - add nickname"))</f>
        <v/>
      </c>
    </row>
    <row r="366" ht="15.75" customHeight="1">
      <c r="A366" s="17"/>
      <c r="B366" s="12"/>
      <c r="C366" s="12"/>
      <c r="D366" s="13"/>
      <c r="E366" s="13" t="str">
        <f>IF($C366="","",IFERROR($D366*VLOOKUP($C366,Foods!$A:$E,3,FALSE),"Add to Foods"))</f>
        <v/>
      </c>
      <c r="F366" s="13" t="str">
        <f>IF($C366="","",IFERROR($D366*VLOOKUP($C366,Foods!$A:$E,4,FALSE),"Add to Foods"))</f>
        <v/>
      </c>
      <c r="G366" s="13" t="str">
        <f>IF($C366="","",IFERROR($D366*VLOOKUP($C366,Foods!$A:$E,5,FALSE),"Add to Foods"))</f>
        <v/>
      </c>
      <c r="H366" s="12"/>
      <c r="I366" s="12" t="str">
        <f>IF($C366="","",IF(COUNTIF(Foods!$A:$A,$C366)&gt;0,"Yes","No - add nickname"))</f>
        <v/>
      </c>
    </row>
    <row r="367" ht="15.75" customHeight="1">
      <c r="A367" s="17"/>
      <c r="B367" s="12"/>
      <c r="C367" s="12"/>
      <c r="D367" s="13"/>
      <c r="E367" s="13" t="str">
        <f>IF($C367="","",IFERROR($D367*VLOOKUP($C367,Foods!$A:$E,3,FALSE),"Add to Foods"))</f>
        <v/>
      </c>
      <c r="F367" s="13" t="str">
        <f>IF($C367="","",IFERROR($D367*VLOOKUP($C367,Foods!$A:$E,4,FALSE),"Add to Foods"))</f>
        <v/>
      </c>
      <c r="G367" s="13" t="str">
        <f>IF($C367="","",IFERROR($D367*VLOOKUP($C367,Foods!$A:$E,5,FALSE),"Add to Foods"))</f>
        <v/>
      </c>
      <c r="H367" s="12"/>
      <c r="I367" s="12" t="str">
        <f>IF($C367="","",IF(COUNTIF(Foods!$A:$A,$C367)&gt;0,"Yes","No - add nickname"))</f>
        <v/>
      </c>
    </row>
    <row r="368" ht="15.75" customHeight="1">
      <c r="A368" s="17"/>
      <c r="B368" s="12"/>
      <c r="C368" s="12"/>
      <c r="D368" s="13"/>
      <c r="E368" s="13" t="str">
        <f>IF($C368="","",IFERROR($D368*VLOOKUP($C368,Foods!$A:$E,3,FALSE),"Add to Foods"))</f>
        <v/>
      </c>
      <c r="F368" s="13" t="str">
        <f>IF($C368="","",IFERROR($D368*VLOOKUP($C368,Foods!$A:$E,4,FALSE),"Add to Foods"))</f>
        <v/>
      </c>
      <c r="G368" s="13" t="str">
        <f>IF($C368="","",IFERROR($D368*VLOOKUP($C368,Foods!$A:$E,5,FALSE),"Add to Foods"))</f>
        <v/>
      </c>
      <c r="H368" s="12"/>
      <c r="I368" s="12" t="str">
        <f>IF($C368="","",IF(COUNTIF(Foods!$A:$A,$C368)&gt;0,"Yes","No - add nickname"))</f>
        <v/>
      </c>
    </row>
    <row r="369" ht="15.75" customHeight="1">
      <c r="A369" s="17"/>
      <c r="B369" s="12"/>
      <c r="C369" s="12"/>
      <c r="D369" s="13"/>
      <c r="E369" s="13" t="str">
        <f>IF($C369="","",IFERROR($D369*VLOOKUP($C369,Foods!$A:$E,3,FALSE),"Add to Foods"))</f>
        <v/>
      </c>
      <c r="F369" s="13" t="str">
        <f>IF($C369="","",IFERROR($D369*VLOOKUP($C369,Foods!$A:$E,4,FALSE),"Add to Foods"))</f>
        <v/>
      </c>
      <c r="G369" s="13" t="str">
        <f>IF($C369="","",IFERROR($D369*VLOOKUP($C369,Foods!$A:$E,5,FALSE),"Add to Foods"))</f>
        <v/>
      </c>
      <c r="H369" s="12"/>
      <c r="I369" s="12" t="str">
        <f>IF($C369="","",IF(COUNTIF(Foods!$A:$A,$C369)&gt;0,"Yes","No - add nickname"))</f>
        <v/>
      </c>
    </row>
    <row r="370" ht="15.75" customHeight="1">
      <c r="A370" s="17"/>
      <c r="B370" s="12"/>
      <c r="C370" s="12"/>
      <c r="D370" s="13"/>
      <c r="E370" s="13" t="str">
        <f>IF($C370="","",IFERROR($D370*VLOOKUP($C370,Foods!$A:$E,3,FALSE),"Add to Foods"))</f>
        <v/>
      </c>
      <c r="F370" s="13" t="str">
        <f>IF($C370="","",IFERROR($D370*VLOOKUP($C370,Foods!$A:$E,4,FALSE),"Add to Foods"))</f>
        <v/>
      </c>
      <c r="G370" s="13" t="str">
        <f>IF($C370="","",IFERROR($D370*VLOOKUP($C370,Foods!$A:$E,5,FALSE),"Add to Foods"))</f>
        <v/>
      </c>
      <c r="H370" s="12"/>
      <c r="I370" s="12" t="str">
        <f>IF($C370="","",IF(COUNTIF(Foods!$A:$A,$C370)&gt;0,"Yes","No - add nickname"))</f>
        <v/>
      </c>
    </row>
    <row r="371" ht="15.75" customHeight="1">
      <c r="A371" s="17"/>
      <c r="B371" s="12"/>
      <c r="C371" s="12"/>
      <c r="D371" s="13"/>
      <c r="E371" s="13" t="str">
        <f>IF($C371="","",IFERROR($D371*VLOOKUP($C371,Foods!$A:$E,3,FALSE),"Add to Foods"))</f>
        <v/>
      </c>
      <c r="F371" s="13" t="str">
        <f>IF($C371="","",IFERROR($D371*VLOOKUP($C371,Foods!$A:$E,4,FALSE),"Add to Foods"))</f>
        <v/>
      </c>
      <c r="G371" s="13" t="str">
        <f>IF($C371="","",IFERROR($D371*VLOOKUP($C371,Foods!$A:$E,5,FALSE),"Add to Foods"))</f>
        <v/>
      </c>
      <c r="H371" s="12"/>
      <c r="I371" s="12" t="str">
        <f>IF($C371="","",IF(COUNTIF(Foods!$A:$A,$C371)&gt;0,"Yes","No - add nickname"))</f>
        <v/>
      </c>
    </row>
    <row r="372" ht="15.75" customHeight="1">
      <c r="A372" s="17"/>
      <c r="B372" s="12"/>
      <c r="C372" s="12"/>
      <c r="D372" s="13"/>
      <c r="E372" s="13" t="str">
        <f>IF($C372="","",IFERROR($D372*VLOOKUP($C372,Foods!$A:$E,3,FALSE),"Add to Foods"))</f>
        <v/>
      </c>
      <c r="F372" s="13" t="str">
        <f>IF($C372="","",IFERROR($D372*VLOOKUP($C372,Foods!$A:$E,4,FALSE),"Add to Foods"))</f>
        <v/>
      </c>
      <c r="G372" s="13" t="str">
        <f>IF($C372="","",IFERROR($D372*VLOOKUP($C372,Foods!$A:$E,5,FALSE),"Add to Foods"))</f>
        <v/>
      </c>
      <c r="H372" s="12"/>
      <c r="I372" s="12" t="str">
        <f>IF($C372="","",IF(COUNTIF(Foods!$A:$A,$C372)&gt;0,"Yes","No - add nickname"))</f>
        <v/>
      </c>
    </row>
    <row r="373" ht="15.75" customHeight="1">
      <c r="A373" s="17"/>
      <c r="B373" s="12"/>
      <c r="C373" s="12"/>
      <c r="D373" s="13"/>
      <c r="E373" s="13" t="str">
        <f>IF($C373="","",IFERROR($D373*VLOOKUP($C373,Foods!$A:$E,3,FALSE),"Add to Foods"))</f>
        <v/>
      </c>
      <c r="F373" s="13" t="str">
        <f>IF($C373="","",IFERROR($D373*VLOOKUP($C373,Foods!$A:$E,4,FALSE),"Add to Foods"))</f>
        <v/>
      </c>
      <c r="G373" s="13" t="str">
        <f>IF($C373="","",IFERROR($D373*VLOOKUP($C373,Foods!$A:$E,5,FALSE),"Add to Foods"))</f>
        <v/>
      </c>
      <c r="H373" s="12"/>
      <c r="I373" s="12" t="str">
        <f>IF($C373="","",IF(COUNTIF(Foods!$A:$A,$C373)&gt;0,"Yes","No - add nickname"))</f>
        <v/>
      </c>
    </row>
    <row r="374" ht="15.75" customHeight="1">
      <c r="A374" s="17"/>
      <c r="B374" s="12"/>
      <c r="C374" s="12"/>
      <c r="D374" s="13"/>
      <c r="E374" s="13" t="str">
        <f>IF($C374="","",IFERROR($D374*VLOOKUP($C374,Foods!$A:$E,3,FALSE),"Add to Foods"))</f>
        <v/>
      </c>
      <c r="F374" s="13" t="str">
        <f>IF($C374="","",IFERROR($D374*VLOOKUP($C374,Foods!$A:$E,4,FALSE),"Add to Foods"))</f>
        <v/>
      </c>
      <c r="G374" s="13" t="str">
        <f>IF($C374="","",IFERROR($D374*VLOOKUP($C374,Foods!$A:$E,5,FALSE),"Add to Foods"))</f>
        <v/>
      </c>
      <c r="H374" s="12"/>
      <c r="I374" s="12" t="str">
        <f>IF($C374="","",IF(COUNTIF(Foods!$A:$A,$C374)&gt;0,"Yes","No - add nickname"))</f>
        <v/>
      </c>
    </row>
    <row r="375" ht="15.75" customHeight="1">
      <c r="A375" s="17"/>
      <c r="B375" s="12"/>
      <c r="C375" s="12"/>
      <c r="D375" s="13"/>
      <c r="E375" s="13" t="str">
        <f>IF($C375="","",IFERROR($D375*VLOOKUP($C375,Foods!$A:$E,3,FALSE),"Add to Foods"))</f>
        <v/>
      </c>
      <c r="F375" s="13" t="str">
        <f>IF($C375="","",IFERROR($D375*VLOOKUP($C375,Foods!$A:$E,4,FALSE),"Add to Foods"))</f>
        <v/>
      </c>
      <c r="G375" s="13" t="str">
        <f>IF($C375="","",IFERROR($D375*VLOOKUP($C375,Foods!$A:$E,5,FALSE),"Add to Foods"))</f>
        <v/>
      </c>
      <c r="H375" s="12"/>
      <c r="I375" s="12" t="str">
        <f>IF($C375="","",IF(COUNTIF(Foods!$A:$A,$C375)&gt;0,"Yes","No - add nickname"))</f>
        <v/>
      </c>
    </row>
    <row r="376" ht="15.75" customHeight="1">
      <c r="A376" s="17"/>
      <c r="B376" s="12"/>
      <c r="C376" s="12"/>
      <c r="D376" s="13"/>
      <c r="E376" s="13" t="str">
        <f>IF($C376="","",IFERROR($D376*VLOOKUP($C376,Foods!$A:$E,3,FALSE),"Add to Foods"))</f>
        <v/>
      </c>
      <c r="F376" s="13" t="str">
        <f>IF($C376="","",IFERROR($D376*VLOOKUP($C376,Foods!$A:$E,4,FALSE),"Add to Foods"))</f>
        <v/>
      </c>
      <c r="G376" s="13" t="str">
        <f>IF($C376="","",IFERROR($D376*VLOOKUP($C376,Foods!$A:$E,5,FALSE),"Add to Foods"))</f>
        <v/>
      </c>
      <c r="H376" s="12"/>
      <c r="I376" s="12" t="str">
        <f>IF($C376="","",IF(COUNTIF(Foods!$A:$A,$C376)&gt;0,"Yes","No - add nickname"))</f>
        <v/>
      </c>
    </row>
    <row r="377" ht="15.75" customHeight="1">
      <c r="A377" s="17"/>
      <c r="B377" s="12"/>
      <c r="C377" s="12"/>
      <c r="D377" s="13"/>
      <c r="E377" s="13" t="str">
        <f>IF($C377="","",IFERROR($D377*VLOOKUP($C377,Foods!$A:$E,3,FALSE),"Add to Foods"))</f>
        <v/>
      </c>
      <c r="F377" s="13" t="str">
        <f>IF($C377="","",IFERROR($D377*VLOOKUP($C377,Foods!$A:$E,4,FALSE),"Add to Foods"))</f>
        <v/>
      </c>
      <c r="G377" s="13" t="str">
        <f>IF($C377="","",IFERROR($D377*VLOOKUP($C377,Foods!$A:$E,5,FALSE),"Add to Foods"))</f>
        <v/>
      </c>
      <c r="H377" s="12"/>
      <c r="I377" s="12" t="str">
        <f>IF($C377="","",IF(COUNTIF(Foods!$A:$A,$C377)&gt;0,"Yes","No - add nickname"))</f>
        <v/>
      </c>
    </row>
    <row r="378" ht="15.75" customHeight="1">
      <c r="A378" s="17"/>
      <c r="B378" s="12"/>
      <c r="C378" s="12"/>
      <c r="D378" s="13"/>
      <c r="E378" s="13" t="str">
        <f>IF($C378="","",IFERROR($D378*VLOOKUP($C378,Foods!$A:$E,3,FALSE),"Add to Foods"))</f>
        <v/>
      </c>
      <c r="F378" s="13" t="str">
        <f>IF($C378="","",IFERROR($D378*VLOOKUP($C378,Foods!$A:$E,4,FALSE),"Add to Foods"))</f>
        <v/>
      </c>
      <c r="G378" s="13" t="str">
        <f>IF($C378="","",IFERROR($D378*VLOOKUP($C378,Foods!$A:$E,5,FALSE),"Add to Foods"))</f>
        <v/>
      </c>
      <c r="H378" s="12"/>
      <c r="I378" s="12" t="str">
        <f>IF($C378="","",IF(COUNTIF(Foods!$A:$A,$C378)&gt;0,"Yes","No - add nickname"))</f>
        <v/>
      </c>
    </row>
    <row r="379" ht="15.75" customHeight="1">
      <c r="A379" s="17"/>
      <c r="B379" s="12"/>
      <c r="C379" s="12"/>
      <c r="D379" s="13"/>
      <c r="E379" s="13" t="str">
        <f>IF($C379="","",IFERROR($D379*VLOOKUP($C379,Foods!$A:$E,3,FALSE),"Add to Foods"))</f>
        <v/>
      </c>
      <c r="F379" s="13" t="str">
        <f>IF($C379="","",IFERROR($D379*VLOOKUP($C379,Foods!$A:$E,4,FALSE),"Add to Foods"))</f>
        <v/>
      </c>
      <c r="G379" s="13" t="str">
        <f>IF($C379="","",IFERROR($D379*VLOOKUP($C379,Foods!$A:$E,5,FALSE),"Add to Foods"))</f>
        <v/>
      </c>
      <c r="H379" s="12"/>
      <c r="I379" s="12" t="str">
        <f>IF($C379="","",IF(COUNTIF(Foods!$A:$A,$C379)&gt;0,"Yes","No - add nickname"))</f>
        <v/>
      </c>
    </row>
    <row r="380" ht="15.75" customHeight="1">
      <c r="A380" s="17"/>
      <c r="B380" s="12"/>
      <c r="C380" s="12"/>
      <c r="D380" s="13"/>
      <c r="E380" s="13" t="str">
        <f>IF($C380="","",IFERROR($D380*VLOOKUP($C380,Foods!$A:$E,3,FALSE),"Add to Foods"))</f>
        <v/>
      </c>
      <c r="F380" s="13" t="str">
        <f>IF($C380="","",IFERROR($D380*VLOOKUP($C380,Foods!$A:$E,4,FALSE),"Add to Foods"))</f>
        <v/>
      </c>
      <c r="G380" s="13" t="str">
        <f>IF($C380="","",IFERROR($D380*VLOOKUP($C380,Foods!$A:$E,5,FALSE),"Add to Foods"))</f>
        <v/>
      </c>
      <c r="H380" s="12"/>
      <c r="I380" s="12" t="str">
        <f>IF($C380="","",IF(COUNTIF(Foods!$A:$A,$C380)&gt;0,"Yes","No - add nickname"))</f>
        <v/>
      </c>
    </row>
    <row r="381" ht="15.75" customHeight="1">
      <c r="A381" s="17"/>
      <c r="B381" s="12"/>
      <c r="C381" s="12"/>
      <c r="D381" s="13"/>
      <c r="E381" s="13" t="str">
        <f>IF($C381="","",IFERROR($D381*VLOOKUP($C381,Foods!$A:$E,3,FALSE),"Add to Foods"))</f>
        <v/>
      </c>
      <c r="F381" s="13" t="str">
        <f>IF($C381="","",IFERROR($D381*VLOOKUP($C381,Foods!$A:$E,4,FALSE),"Add to Foods"))</f>
        <v/>
      </c>
      <c r="G381" s="13" t="str">
        <f>IF($C381="","",IFERROR($D381*VLOOKUP($C381,Foods!$A:$E,5,FALSE),"Add to Foods"))</f>
        <v/>
      </c>
      <c r="H381" s="12"/>
      <c r="I381" s="12" t="str">
        <f>IF($C381="","",IF(COUNTIF(Foods!$A:$A,$C381)&gt;0,"Yes","No - add nickname"))</f>
        <v/>
      </c>
    </row>
    <row r="382" ht="15.75" customHeight="1">
      <c r="A382" s="17"/>
      <c r="B382" s="12"/>
      <c r="C382" s="12"/>
      <c r="D382" s="13"/>
      <c r="E382" s="13" t="str">
        <f>IF($C382="","",IFERROR($D382*VLOOKUP($C382,Foods!$A:$E,3,FALSE),"Add to Foods"))</f>
        <v/>
      </c>
      <c r="F382" s="13" t="str">
        <f>IF($C382="","",IFERROR($D382*VLOOKUP($C382,Foods!$A:$E,4,FALSE),"Add to Foods"))</f>
        <v/>
      </c>
      <c r="G382" s="13" t="str">
        <f>IF($C382="","",IFERROR($D382*VLOOKUP($C382,Foods!$A:$E,5,FALSE),"Add to Foods"))</f>
        <v/>
      </c>
      <c r="H382" s="12"/>
      <c r="I382" s="12" t="str">
        <f>IF($C382="","",IF(COUNTIF(Foods!$A:$A,$C382)&gt;0,"Yes","No - add nickname"))</f>
        <v/>
      </c>
    </row>
    <row r="383" ht="15.75" customHeight="1">
      <c r="A383" s="17"/>
      <c r="B383" s="12"/>
      <c r="C383" s="12"/>
      <c r="D383" s="13"/>
      <c r="E383" s="13" t="str">
        <f>IF($C383="","",IFERROR($D383*VLOOKUP($C383,Foods!$A:$E,3,FALSE),"Add to Foods"))</f>
        <v/>
      </c>
      <c r="F383" s="13" t="str">
        <f>IF($C383="","",IFERROR($D383*VLOOKUP($C383,Foods!$A:$E,4,FALSE),"Add to Foods"))</f>
        <v/>
      </c>
      <c r="G383" s="13" t="str">
        <f>IF($C383="","",IFERROR($D383*VLOOKUP($C383,Foods!$A:$E,5,FALSE),"Add to Foods"))</f>
        <v/>
      </c>
      <c r="H383" s="12"/>
      <c r="I383" s="12" t="str">
        <f>IF($C383="","",IF(COUNTIF(Foods!$A:$A,$C383)&gt;0,"Yes","No - add nickname"))</f>
        <v/>
      </c>
    </row>
    <row r="384" ht="15.75" customHeight="1">
      <c r="A384" s="17"/>
      <c r="B384" s="12"/>
      <c r="C384" s="12"/>
      <c r="D384" s="13"/>
      <c r="E384" s="13" t="str">
        <f>IF($C384="","",IFERROR($D384*VLOOKUP($C384,Foods!$A:$E,3,FALSE),"Add to Foods"))</f>
        <v/>
      </c>
      <c r="F384" s="13" t="str">
        <f>IF($C384="","",IFERROR($D384*VLOOKUP($C384,Foods!$A:$E,4,FALSE),"Add to Foods"))</f>
        <v/>
      </c>
      <c r="G384" s="13" t="str">
        <f>IF($C384="","",IFERROR($D384*VLOOKUP($C384,Foods!$A:$E,5,FALSE),"Add to Foods"))</f>
        <v/>
      </c>
      <c r="H384" s="12"/>
      <c r="I384" s="12" t="str">
        <f>IF($C384="","",IF(COUNTIF(Foods!$A:$A,$C384)&gt;0,"Yes","No - add nickname"))</f>
        <v/>
      </c>
    </row>
    <row r="385" ht="15.75" customHeight="1">
      <c r="A385" s="17"/>
      <c r="B385" s="12"/>
      <c r="C385" s="12"/>
      <c r="D385" s="13"/>
      <c r="E385" s="13" t="str">
        <f>IF($C385="","",IFERROR($D385*VLOOKUP($C385,Foods!$A:$E,3,FALSE),"Add to Foods"))</f>
        <v/>
      </c>
      <c r="F385" s="13" t="str">
        <f>IF($C385="","",IFERROR($D385*VLOOKUP($C385,Foods!$A:$E,4,FALSE),"Add to Foods"))</f>
        <v/>
      </c>
      <c r="G385" s="13" t="str">
        <f>IF($C385="","",IFERROR($D385*VLOOKUP($C385,Foods!$A:$E,5,FALSE),"Add to Foods"))</f>
        <v/>
      </c>
      <c r="H385" s="12"/>
      <c r="I385" s="12" t="str">
        <f>IF($C385="","",IF(COUNTIF(Foods!$A:$A,$C385)&gt;0,"Yes","No - add nickname"))</f>
        <v/>
      </c>
    </row>
    <row r="386" ht="15.75" customHeight="1">
      <c r="A386" s="17"/>
      <c r="B386" s="12"/>
      <c r="C386" s="12"/>
      <c r="D386" s="13"/>
      <c r="E386" s="13" t="str">
        <f>IF($C386="","",IFERROR($D386*VLOOKUP($C386,Foods!$A:$E,3,FALSE),"Add to Foods"))</f>
        <v/>
      </c>
      <c r="F386" s="13" t="str">
        <f>IF($C386="","",IFERROR($D386*VLOOKUP($C386,Foods!$A:$E,4,FALSE),"Add to Foods"))</f>
        <v/>
      </c>
      <c r="G386" s="13" t="str">
        <f>IF($C386="","",IFERROR($D386*VLOOKUP($C386,Foods!$A:$E,5,FALSE),"Add to Foods"))</f>
        <v/>
      </c>
      <c r="H386" s="12"/>
      <c r="I386" s="12" t="str">
        <f>IF($C386="","",IF(COUNTIF(Foods!$A:$A,$C386)&gt;0,"Yes","No - add nickname"))</f>
        <v/>
      </c>
    </row>
    <row r="387" ht="15.75" customHeight="1">
      <c r="A387" s="17"/>
      <c r="B387" s="12"/>
      <c r="C387" s="12"/>
      <c r="D387" s="13"/>
      <c r="E387" s="13" t="str">
        <f>IF($C387="","",IFERROR($D387*VLOOKUP($C387,Foods!$A:$E,3,FALSE),"Add to Foods"))</f>
        <v/>
      </c>
      <c r="F387" s="13" t="str">
        <f>IF($C387="","",IFERROR($D387*VLOOKUP($C387,Foods!$A:$E,4,FALSE),"Add to Foods"))</f>
        <v/>
      </c>
      <c r="G387" s="13" t="str">
        <f>IF($C387="","",IFERROR($D387*VLOOKUP($C387,Foods!$A:$E,5,FALSE),"Add to Foods"))</f>
        <v/>
      </c>
      <c r="H387" s="12"/>
      <c r="I387" s="12" t="str">
        <f>IF($C387="","",IF(COUNTIF(Foods!$A:$A,$C387)&gt;0,"Yes","No - add nickname"))</f>
        <v/>
      </c>
    </row>
    <row r="388" ht="15.75" customHeight="1">
      <c r="A388" s="17"/>
      <c r="B388" s="12"/>
      <c r="C388" s="12"/>
      <c r="D388" s="13"/>
      <c r="E388" s="13" t="str">
        <f>IF($C388="","",IFERROR($D388*VLOOKUP($C388,Foods!$A:$E,3,FALSE),"Add to Foods"))</f>
        <v/>
      </c>
      <c r="F388" s="13" t="str">
        <f>IF($C388="","",IFERROR($D388*VLOOKUP($C388,Foods!$A:$E,4,FALSE),"Add to Foods"))</f>
        <v/>
      </c>
      <c r="G388" s="13" t="str">
        <f>IF($C388="","",IFERROR($D388*VLOOKUP($C388,Foods!$A:$E,5,FALSE),"Add to Foods"))</f>
        <v/>
      </c>
      <c r="H388" s="12"/>
      <c r="I388" s="12" t="str">
        <f>IF($C388="","",IF(COUNTIF(Foods!$A:$A,$C388)&gt;0,"Yes","No - add nickname"))</f>
        <v/>
      </c>
    </row>
    <row r="389" ht="15.75" customHeight="1">
      <c r="A389" s="17"/>
      <c r="B389" s="12"/>
      <c r="C389" s="12"/>
      <c r="D389" s="13"/>
      <c r="E389" s="13" t="str">
        <f>IF($C389="","",IFERROR($D389*VLOOKUP($C389,Foods!$A:$E,3,FALSE),"Add to Foods"))</f>
        <v/>
      </c>
      <c r="F389" s="13" t="str">
        <f>IF($C389="","",IFERROR($D389*VLOOKUP($C389,Foods!$A:$E,4,FALSE),"Add to Foods"))</f>
        <v/>
      </c>
      <c r="G389" s="13" t="str">
        <f>IF($C389="","",IFERROR($D389*VLOOKUP($C389,Foods!$A:$E,5,FALSE),"Add to Foods"))</f>
        <v/>
      </c>
      <c r="H389" s="12"/>
      <c r="I389" s="12" t="str">
        <f>IF($C389="","",IF(COUNTIF(Foods!$A:$A,$C389)&gt;0,"Yes","No - add nickname"))</f>
        <v/>
      </c>
    </row>
    <row r="390" ht="15.75" customHeight="1">
      <c r="A390" s="17"/>
      <c r="B390" s="12"/>
      <c r="C390" s="12"/>
      <c r="D390" s="13"/>
      <c r="E390" s="13" t="str">
        <f>IF($C390="","",IFERROR($D390*VLOOKUP($C390,Foods!$A:$E,3,FALSE),"Add to Foods"))</f>
        <v/>
      </c>
      <c r="F390" s="13" t="str">
        <f>IF($C390="","",IFERROR($D390*VLOOKUP($C390,Foods!$A:$E,4,FALSE),"Add to Foods"))</f>
        <v/>
      </c>
      <c r="G390" s="13" t="str">
        <f>IF($C390="","",IFERROR($D390*VLOOKUP($C390,Foods!$A:$E,5,FALSE),"Add to Foods"))</f>
        <v/>
      </c>
      <c r="H390" s="12"/>
      <c r="I390" s="12" t="str">
        <f>IF($C390="","",IF(COUNTIF(Foods!$A:$A,$C390)&gt;0,"Yes","No - add nickname"))</f>
        <v/>
      </c>
    </row>
    <row r="391" ht="15.75" customHeight="1">
      <c r="A391" s="17"/>
      <c r="B391" s="12"/>
      <c r="C391" s="12"/>
      <c r="D391" s="13"/>
      <c r="E391" s="13" t="str">
        <f>IF($C391="","",IFERROR($D391*VLOOKUP($C391,Foods!$A:$E,3,FALSE),"Add to Foods"))</f>
        <v/>
      </c>
      <c r="F391" s="13" t="str">
        <f>IF($C391="","",IFERROR($D391*VLOOKUP($C391,Foods!$A:$E,4,FALSE),"Add to Foods"))</f>
        <v/>
      </c>
      <c r="G391" s="13" t="str">
        <f>IF($C391="","",IFERROR($D391*VLOOKUP($C391,Foods!$A:$E,5,FALSE),"Add to Foods"))</f>
        <v/>
      </c>
      <c r="H391" s="12"/>
      <c r="I391" s="12" t="str">
        <f>IF($C391="","",IF(COUNTIF(Foods!$A:$A,$C391)&gt;0,"Yes","No - add nickname"))</f>
        <v/>
      </c>
    </row>
    <row r="392" ht="15.75" customHeight="1">
      <c r="A392" s="17"/>
      <c r="B392" s="12"/>
      <c r="C392" s="12"/>
      <c r="D392" s="13"/>
      <c r="E392" s="13" t="str">
        <f>IF($C392="","",IFERROR($D392*VLOOKUP($C392,Foods!$A:$E,3,FALSE),"Add to Foods"))</f>
        <v/>
      </c>
      <c r="F392" s="13" t="str">
        <f>IF($C392="","",IFERROR($D392*VLOOKUP($C392,Foods!$A:$E,4,FALSE),"Add to Foods"))</f>
        <v/>
      </c>
      <c r="G392" s="13" t="str">
        <f>IF($C392="","",IFERROR($D392*VLOOKUP($C392,Foods!$A:$E,5,FALSE),"Add to Foods"))</f>
        <v/>
      </c>
      <c r="H392" s="12"/>
      <c r="I392" s="12" t="str">
        <f>IF($C392="","",IF(COUNTIF(Foods!$A:$A,$C392)&gt;0,"Yes","No - add nickname"))</f>
        <v/>
      </c>
    </row>
    <row r="393" ht="15.75" customHeight="1">
      <c r="A393" s="17"/>
      <c r="B393" s="12"/>
      <c r="C393" s="12"/>
      <c r="D393" s="13"/>
      <c r="E393" s="13" t="str">
        <f>IF($C393="","",IFERROR($D393*VLOOKUP($C393,Foods!$A:$E,3,FALSE),"Add to Foods"))</f>
        <v/>
      </c>
      <c r="F393" s="13" t="str">
        <f>IF($C393="","",IFERROR($D393*VLOOKUP($C393,Foods!$A:$E,4,FALSE),"Add to Foods"))</f>
        <v/>
      </c>
      <c r="G393" s="13" t="str">
        <f>IF($C393="","",IFERROR($D393*VLOOKUP($C393,Foods!$A:$E,5,FALSE),"Add to Foods"))</f>
        <v/>
      </c>
      <c r="H393" s="12"/>
      <c r="I393" s="12" t="str">
        <f>IF($C393="","",IF(COUNTIF(Foods!$A:$A,$C393)&gt;0,"Yes","No - add nickname"))</f>
        <v/>
      </c>
    </row>
    <row r="394" ht="15.75" customHeight="1">
      <c r="A394" s="17"/>
      <c r="B394" s="12"/>
      <c r="C394" s="12"/>
      <c r="D394" s="13"/>
      <c r="E394" s="13" t="str">
        <f>IF($C394="","",IFERROR($D394*VLOOKUP($C394,Foods!$A:$E,3,FALSE),"Add to Foods"))</f>
        <v/>
      </c>
      <c r="F394" s="13" t="str">
        <f>IF($C394="","",IFERROR($D394*VLOOKUP($C394,Foods!$A:$E,4,FALSE),"Add to Foods"))</f>
        <v/>
      </c>
      <c r="G394" s="13" t="str">
        <f>IF($C394="","",IFERROR($D394*VLOOKUP($C394,Foods!$A:$E,5,FALSE),"Add to Foods"))</f>
        <v/>
      </c>
      <c r="H394" s="12"/>
      <c r="I394" s="12" t="str">
        <f>IF($C394="","",IF(COUNTIF(Foods!$A:$A,$C394)&gt;0,"Yes","No - add nickname"))</f>
        <v/>
      </c>
    </row>
    <row r="395" ht="15.75" customHeight="1">
      <c r="A395" s="17"/>
      <c r="B395" s="12"/>
      <c r="C395" s="12"/>
      <c r="D395" s="13"/>
      <c r="E395" s="13" t="str">
        <f>IF($C395="","",IFERROR($D395*VLOOKUP($C395,Foods!$A:$E,3,FALSE),"Add to Foods"))</f>
        <v/>
      </c>
      <c r="F395" s="13" t="str">
        <f>IF($C395="","",IFERROR($D395*VLOOKUP($C395,Foods!$A:$E,4,FALSE),"Add to Foods"))</f>
        <v/>
      </c>
      <c r="G395" s="13" t="str">
        <f>IF($C395="","",IFERROR($D395*VLOOKUP($C395,Foods!$A:$E,5,FALSE),"Add to Foods"))</f>
        <v/>
      </c>
      <c r="H395" s="12"/>
      <c r="I395" s="12" t="str">
        <f>IF($C395="","",IF(COUNTIF(Foods!$A:$A,$C395)&gt;0,"Yes","No - add nickname"))</f>
        <v/>
      </c>
    </row>
    <row r="396" ht="15.75" customHeight="1">
      <c r="A396" s="17"/>
      <c r="B396" s="12"/>
      <c r="C396" s="12"/>
      <c r="D396" s="13"/>
      <c r="E396" s="13" t="str">
        <f>IF($C396="","",IFERROR($D396*VLOOKUP($C396,Foods!$A:$E,3,FALSE),"Add to Foods"))</f>
        <v/>
      </c>
      <c r="F396" s="13" t="str">
        <f>IF($C396="","",IFERROR($D396*VLOOKUP($C396,Foods!$A:$E,4,FALSE),"Add to Foods"))</f>
        <v/>
      </c>
      <c r="G396" s="13" t="str">
        <f>IF($C396="","",IFERROR($D396*VLOOKUP($C396,Foods!$A:$E,5,FALSE),"Add to Foods"))</f>
        <v/>
      </c>
      <c r="H396" s="12"/>
      <c r="I396" s="12" t="str">
        <f>IF($C396="","",IF(COUNTIF(Foods!$A:$A,$C396)&gt;0,"Yes","No - add nickname"))</f>
        <v/>
      </c>
    </row>
    <row r="397" ht="15.75" customHeight="1">
      <c r="A397" s="17"/>
      <c r="B397" s="12"/>
      <c r="C397" s="12"/>
      <c r="D397" s="13"/>
      <c r="E397" s="13" t="str">
        <f>IF($C397="","",IFERROR($D397*VLOOKUP($C397,Foods!$A:$E,3,FALSE),"Add to Foods"))</f>
        <v/>
      </c>
      <c r="F397" s="13" t="str">
        <f>IF($C397="","",IFERROR($D397*VLOOKUP($C397,Foods!$A:$E,4,FALSE),"Add to Foods"))</f>
        <v/>
      </c>
      <c r="G397" s="13" t="str">
        <f>IF($C397="","",IFERROR($D397*VLOOKUP($C397,Foods!$A:$E,5,FALSE),"Add to Foods"))</f>
        <v/>
      </c>
      <c r="H397" s="12"/>
      <c r="I397" s="12" t="str">
        <f>IF($C397="","",IF(COUNTIF(Foods!$A:$A,$C397)&gt;0,"Yes","No - add nickname"))</f>
        <v/>
      </c>
    </row>
    <row r="398" ht="15.75" customHeight="1">
      <c r="A398" s="17"/>
      <c r="B398" s="12"/>
      <c r="C398" s="12"/>
      <c r="D398" s="13"/>
      <c r="E398" s="13" t="str">
        <f>IF($C398="","",IFERROR($D398*VLOOKUP($C398,Foods!$A:$E,3,FALSE),"Add to Foods"))</f>
        <v/>
      </c>
      <c r="F398" s="13" t="str">
        <f>IF($C398="","",IFERROR($D398*VLOOKUP($C398,Foods!$A:$E,4,FALSE),"Add to Foods"))</f>
        <v/>
      </c>
      <c r="G398" s="13" t="str">
        <f>IF($C398="","",IFERROR($D398*VLOOKUP($C398,Foods!$A:$E,5,FALSE),"Add to Foods"))</f>
        <v/>
      </c>
      <c r="H398" s="12"/>
      <c r="I398" s="12" t="str">
        <f>IF($C398="","",IF(COUNTIF(Foods!$A:$A,$C398)&gt;0,"Yes","No - add nickname"))</f>
        <v/>
      </c>
    </row>
    <row r="399" ht="15.75" customHeight="1">
      <c r="A399" s="17"/>
      <c r="B399" s="12"/>
      <c r="C399" s="12"/>
      <c r="D399" s="13"/>
      <c r="E399" s="13" t="str">
        <f>IF($C399="","",IFERROR($D399*VLOOKUP($C399,Foods!$A:$E,3,FALSE),"Add to Foods"))</f>
        <v/>
      </c>
      <c r="F399" s="13" t="str">
        <f>IF($C399="","",IFERROR($D399*VLOOKUP($C399,Foods!$A:$E,4,FALSE),"Add to Foods"))</f>
        <v/>
      </c>
      <c r="G399" s="13" t="str">
        <f>IF($C399="","",IFERROR($D399*VLOOKUP($C399,Foods!$A:$E,5,FALSE),"Add to Foods"))</f>
        <v/>
      </c>
      <c r="H399" s="12"/>
      <c r="I399" s="12" t="str">
        <f>IF($C399="","",IF(COUNTIF(Foods!$A:$A,$C399)&gt;0,"Yes","No - add nickname"))</f>
        <v/>
      </c>
    </row>
    <row r="400" ht="15.75" customHeight="1">
      <c r="A400" s="17"/>
      <c r="B400" s="12"/>
      <c r="C400" s="12"/>
      <c r="D400" s="13"/>
      <c r="E400" s="13" t="str">
        <f>IF($C400="","",IFERROR($D400*VLOOKUP($C400,Foods!$A:$E,3,FALSE),"Add to Foods"))</f>
        <v/>
      </c>
      <c r="F400" s="13" t="str">
        <f>IF($C400="","",IFERROR($D400*VLOOKUP($C400,Foods!$A:$E,4,FALSE),"Add to Foods"))</f>
        <v/>
      </c>
      <c r="G400" s="13" t="str">
        <f>IF($C400="","",IFERROR($D400*VLOOKUP($C400,Foods!$A:$E,5,FALSE),"Add to Foods"))</f>
        <v/>
      </c>
      <c r="H400" s="12"/>
      <c r="I400" s="12" t="str">
        <f>IF($C400="","",IF(COUNTIF(Foods!$A:$A,$C400)&gt;0,"Yes","No - add nickname"))</f>
        <v/>
      </c>
    </row>
    <row r="401" ht="15.75" customHeight="1">
      <c r="A401" s="17"/>
      <c r="B401" s="12"/>
      <c r="C401" s="12"/>
      <c r="D401" s="13"/>
      <c r="E401" s="13" t="str">
        <f>IF($C401="","",IFERROR($D401*VLOOKUP($C401,Foods!$A:$E,3,FALSE),"Add to Foods"))</f>
        <v/>
      </c>
      <c r="F401" s="13" t="str">
        <f>IF($C401="","",IFERROR($D401*VLOOKUP($C401,Foods!$A:$E,4,FALSE),"Add to Foods"))</f>
        <v/>
      </c>
      <c r="G401" s="13" t="str">
        <f>IF($C401="","",IFERROR($D401*VLOOKUP($C401,Foods!$A:$E,5,FALSE),"Add to Foods"))</f>
        <v/>
      </c>
      <c r="H401" s="12"/>
      <c r="I401" s="12" t="str">
        <f>IF($C401="","",IF(COUNTIF(Foods!$A:$A,$C401)&gt;0,"Yes","No - add nickname"))</f>
        <v/>
      </c>
    </row>
    <row r="402" ht="15.75" customHeight="1">
      <c r="A402" s="17"/>
      <c r="B402" s="12"/>
      <c r="C402" s="12"/>
      <c r="D402" s="13"/>
      <c r="E402" s="13" t="str">
        <f>IF($C402="","",IFERROR($D402*VLOOKUP($C402,Foods!$A:$E,3,FALSE),"Add to Foods"))</f>
        <v/>
      </c>
      <c r="F402" s="13" t="str">
        <f>IF($C402="","",IFERROR($D402*VLOOKUP($C402,Foods!$A:$E,4,FALSE),"Add to Foods"))</f>
        <v/>
      </c>
      <c r="G402" s="13" t="str">
        <f>IF($C402="","",IFERROR($D402*VLOOKUP($C402,Foods!$A:$E,5,FALSE),"Add to Foods"))</f>
        <v/>
      </c>
      <c r="H402" s="12"/>
      <c r="I402" s="12" t="str">
        <f>IF($C402="","",IF(COUNTIF(Foods!$A:$A,$C402)&gt;0,"Yes","No - add nickname"))</f>
        <v/>
      </c>
    </row>
    <row r="403" ht="15.75" customHeight="1">
      <c r="A403" s="17"/>
      <c r="B403" s="12"/>
      <c r="C403" s="12"/>
      <c r="D403" s="13"/>
      <c r="E403" s="13" t="str">
        <f>IF($C403="","",IFERROR($D403*VLOOKUP($C403,Foods!$A:$E,3,FALSE),"Add to Foods"))</f>
        <v/>
      </c>
      <c r="F403" s="13" t="str">
        <f>IF($C403="","",IFERROR($D403*VLOOKUP($C403,Foods!$A:$E,4,FALSE),"Add to Foods"))</f>
        <v/>
      </c>
      <c r="G403" s="13" t="str">
        <f>IF($C403="","",IFERROR($D403*VLOOKUP($C403,Foods!$A:$E,5,FALSE),"Add to Foods"))</f>
        <v/>
      </c>
      <c r="H403" s="12"/>
      <c r="I403" s="12" t="str">
        <f>IF($C403="","",IF(COUNTIF(Foods!$A:$A,$C403)&gt;0,"Yes","No - add nickname"))</f>
        <v/>
      </c>
    </row>
    <row r="404" ht="15.75" customHeight="1">
      <c r="A404" s="17"/>
      <c r="B404" s="12"/>
      <c r="C404" s="12"/>
      <c r="D404" s="13"/>
      <c r="E404" s="13" t="str">
        <f>IF($C404="","",IFERROR($D404*VLOOKUP($C404,Foods!$A:$E,3,FALSE),"Add to Foods"))</f>
        <v/>
      </c>
      <c r="F404" s="13" t="str">
        <f>IF($C404="","",IFERROR($D404*VLOOKUP($C404,Foods!$A:$E,4,FALSE),"Add to Foods"))</f>
        <v/>
      </c>
      <c r="G404" s="13" t="str">
        <f>IF($C404="","",IFERROR($D404*VLOOKUP($C404,Foods!$A:$E,5,FALSE),"Add to Foods"))</f>
        <v/>
      </c>
      <c r="H404" s="12"/>
      <c r="I404" s="12" t="str">
        <f>IF($C404="","",IF(COUNTIF(Foods!$A:$A,$C404)&gt;0,"Yes","No - add nickname"))</f>
        <v/>
      </c>
    </row>
    <row r="405" ht="15.75" customHeight="1">
      <c r="A405" s="17"/>
      <c r="B405" s="12"/>
      <c r="C405" s="12"/>
      <c r="D405" s="13"/>
      <c r="E405" s="13" t="str">
        <f>IF($C405="","",IFERROR($D405*VLOOKUP($C405,Foods!$A:$E,3,FALSE),"Add to Foods"))</f>
        <v/>
      </c>
      <c r="F405" s="13" t="str">
        <f>IF($C405="","",IFERROR($D405*VLOOKUP($C405,Foods!$A:$E,4,FALSE),"Add to Foods"))</f>
        <v/>
      </c>
      <c r="G405" s="13" t="str">
        <f>IF($C405="","",IFERROR($D405*VLOOKUP($C405,Foods!$A:$E,5,FALSE),"Add to Foods"))</f>
        <v/>
      </c>
      <c r="H405" s="12"/>
      <c r="I405" s="12" t="str">
        <f>IF($C405="","",IF(COUNTIF(Foods!$A:$A,$C405)&gt;0,"Yes","No - add nickname"))</f>
        <v/>
      </c>
    </row>
    <row r="406" ht="15.75" customHeight="1">
      <c r="A406" s="17"/>
      <c r="B406" s="12"/>
      <c r="C406" s="12"/>
      <c r="D406" s="13"/>
      <c r="E406" s="13" t="str">
        <f>IF($C406="","",IFERROR($D406*VLOOKUP($C406,Foods!$A:$E,3,FALSE),"Add to Foods"))</f>
        <v/>
      </c>
      <c r="F406" s="13" t="str">
        <f>IF($C406="","",IFERROR($D406*VLOOKUP($C406,Foods!$A:$E,4,FALSE),"Add to Foods"))</f>
        <v/>
      </c>
      <c r="G406" s="13" t="str">
        <f>IF($C406="","",IFERROR($D406*VLOOKUP($C406,Foods!$A:$E,5,FALSE),"Add to Foods"))</f>
        <v/>
      </c>
      <c r="H406" s="12"/>
      <c r="I406" s="12" t="str">
        <f>IF($C406="","",IF(COUNTIF(Foods!$A:$A,$C406)&gt;0,"Yes","No - add nickname"))</f>
        <v/>
      </c>
    </row>
    <row r="407" ht="15.75" customHeight="1">
      <c r="A407" s="17"/>
      <c r="B407" s="12"/>
      <c r="C407" s="12"/>
      <c r="D407" s="13"/>
      <c r="E407" s="13" t="str">
        <f>IF($C407="","",IFERROR($D407*VLOOKUP($C407,Foods!$A:$E,3,FALSE),"Add to Foods"))</f>
        <v/>
      </c>
      <c r="F407" s="13" t="str">
        <f>IF($C407="","",IFERROR($D407*VLOOKUP($C407,Foods!$A:$E,4,FALSE),"Add to Foods"))</f>
        <v/>
      </c>
      <c r="G407" s="13" t="str">
        <f>IF($C407="","",IFERROR($D407*VLOOKUP($C407,Foods!$A:$E,5,FALSE),"Add to Foods"))</f>
        <v/>
      </c>
      <c r="H407" s="12"/>
      <c r="I407" s="12" t="str">
        <f>IF($C407="","",IF(COUNTIF(Foods!$A:$A,$C407)&gt;0,"Yes","No - add nickname"))</f>
        <v/>
      </c>
    </row>
    <row r="408" ht="15.75" customHeight="1">
      <c r="A408" s="17"/>
      <c r="B408" s="12"/>
      <c r="C408" s="12"/>
      <c r="D408" s="13"/>
      <c r="E408" s="13" t="str">
        <f>IF($C408="","",IFERROR($D408*VLOOKUP($C408,Foods!$A:$E,3,FALSE),"Add to Foods"))</f>
        <v/>
      </c>
      <c r="F408" s="13" t="str">
        <f>IF($C408="","",IFERROR($D408*VLOOKUP($C408,Foods!$A:$E,4,FALSE),"Add to Foods"))</f>
        <v/>
      </c>
      <c r="G408" s="13" t="str">
        <f>IF($C408="","",IFERROR($D408*VLOOKUP($C408,Foods!$A:$E,5,FALSE),"Add to Foods"))</f>
        <v/>
      </c>
      <c r="H408" s="12"/>
      <c r="I408" s="12" t="str">
        <f>IF($C408="","",IF(COUNTIF(Foods!$A:$A,$C408)&gt;0,"Yes","No - add nickname"))</f>
        <v/>
      </c>
    </row>
    <row r="409" ht="15.75" customHeight="1">
      <c r="A409" s="17"/>
      <c r="B409" s="12"/>
      <c r="C409" s="12"/>
      <c r="D409" s="13"/>
      <c r="E409" s="13" t="str">
        <f>IF($C409="","",IFERROR($D409*VLOOKUP($C409,Foods!$A:$E,3,FALSE),"Add to Foods"))</f>
        <v/>
      </c>
      <c r="F409" s="13" t="str">
        <f>IF($C409="","",IFERROR($D409*VLOOKUP($C409,Foods!$A:$E,4,FALSE),"Add to Foods"))</f>
        <v/>
      </c>
      <c r="G409" s="13" t="str">
        <f>IF($C409="","",IFERROR($D409*VLOOKUP($C409,Foods!$A:$E,5,FALSE),"Add to Foods"))</f>
        <v/>
      </c>
      <c r="H409" s="12"/>
      <c r="I409" s="12" t="str">
        <f>IF($C409="","",IF(COUNTIF(Foods!$A:$A,$C409)&gt;0,"Yes","No - add nickname"))</f>
        <v/>
      </c>
    </row>
    <row r="410" ht="15.75" customHeight="1">
      <c r="A410" s="17"/>
      <c r="B410" s="12"/>
      <c r="C410" s="12"/>
      <c r="D410" s="13"/>
      <c r="E410" s="13" t="str">
        <f>IF($C410="","",IFERROR($D410*VLOOKUP($C410,Foods!$A:$E,3,FALSE),"Add to Foods"))</f>
        <v/>
      </c>
      <c r="F410" s="13" t="str">
        <f>IF($C410="","",IFERROR($D410*VLOOKUP($C410,Foods!$A:$E,4,FALSE),"Add to Foods"))</f>
        <v/>
      </c>
      <c r="G410" s="13" t="str">
        <f>IF($C410="","",IFERROR($D410*VLOOKUP($C410,Foods!$A:$E,5,FALSE),"Add to Foods"))</f>
        <v/>
      </c>
      <c r="H410" s="12"/>
      <c r="I410" s="12" t="str">
        <f>IF($C410="","",IF(COUNTIF(Foods!$A:$A,$C410)&gt;0,"Yes","No - add nickname"))</f>
        <v/>
      </c>
    </row>
    <row r="411" ht="15.75" customHeight="1">
      <c r="A411" s="17"/>
      <c r="B411" s="12"/>
      <c r="C411" s="12"/>
      <c r="D411" s="13"/>
      <c r="E411" s="13" t="str">
        <f>IF($C411="","",IFERROR($D411*VLOOKUP($C411,Foods!$A:$E,3,FALSE),"Add to Foods"))</f>
        <v/>
      </c>
      <c r="F411" s="13" t="str">
        <f>IF($C411="","",IFERROR($D411*VLOOKUP($C411,Foods!$A:$E,4,FALSE),"Add to Foods"))</f>
        <v/>
      </c>
      <c r="G411" s="13" t="str">
        <f>IF($C411="","",IFERROR($D411*VLOOKUP($C411,Foods!$A:$E,5,FALSE),"Add to Foods"))</f>
        <v/>
      </c>
      <c r="H411" s="12"/>
      <c r="I411" s="12" t="str">
        <f>IF($C411="","",IF(COUNTIF(Foods!$A:$A,$C411)&gt;0,"Yes","No - add nickname"))</f>
        <v/>
      </c>
    </row>
    <row r="412" ht="15.75" customHeight="1">
      <c r="A412" s="17"/>
      <c r="B412" s="12"/>
      <c r="C412" s="12"/>
      <c r="D412" s="13"/>
      <c r="E412" s="13" t="str">
        <f>IF($C412="","",IFERROR($D412*VLOOKUP($C412,Foods!$A:$E,3,FALSE),"Add to Foods"))</f>
        <v/>
      </c>
      <c r="F412" s="13" t="str">
        <f>IF($C412="","",IFERROR($D412*VLOOKUP($C412,Foods!$A:$E,4,FALSE),"Add to Foods"))</f>
        <v/>
      </c>
      <c r="G412" s="13" t="str">
        <f>IF($C412="","",IFERROR($D412*VLOOKUP($C412,Foods!$A:$E,5,FALSE),"Add to Foods"))</f>
        <v/>
      </c>
      <c r="H412" s="12"/>
      <c r="I412" s="12" t="str">
        <f>IF($C412="","",IF(COUNTIF(Foods!$A:$A,$C412)&gt;0,"Yes","No - add nickname"))</f>
        <v/>
      </c>
    </row>
    <row r="413" ht="15.75" customHeight="1">
      <c r="A413" s="17"/>
      <c r="B413" s="12"/>
      <c r="C413" s="12"/>
      <c r="D413" s="13"/>
      <c r="E413" s="13" t="str">
        <f>IF($C413="","",IFERROR($D413*VLOOKUP($C413,Foods!$A:$E,3,FALSE),"Add to Foods"))</f>
        <v/>
      </c>
      <c r="F413" s="13" t="str">
        <f>IF($C413="","",IFERROR($D413*VLOOKUP($C413,Foods!$A:$E,4,FALSE),"Add to Foods"))</f>
        <v/>
      </c>
      <c r="G413" s="13" t="str">
        <f>IF($C413="","",IFERROR($D413*VLOOKUP($C413,Foods!$A:$E,5,FALSE),"Add to Foods"))</f>
        <v/>
      </c>
      <c r="H413" s="12"/>
      <c r="I413" s="12" t="str">
        <f>IF($C413="","",IF(COUNTIF(Foods!$A:$A,$C413)&gt;0,"Yes","No - add nickname"))</f>
        <v/>
      </c>
    </row>
    <row r="414" ht="15.75" customHeight="1">
      <c r="A414" s="17"/>
      <c r="B414" s="12"/>
      <c r="C414" s="12"/>
      <c r="D414" s="13"/>
      <c r="E414" s="13" t="str">
        <f>IF($C414="","",IFERROR($D414*VLOOKUP($C414,Foods!$A:$E,3,FALSE),"Add to Foods"))</f>
        <v/>
      </c>
      <c r="F414" s="13" t="str">
        <f>IF($C414="","",IFERROR($D414*VLOOKUP($C414,Foods!$A:$E,4,FALSE),"Add to Foods"))</f>
        <v/>
      </c>
      <c r="G414" s="13" t="str">
        <f>IF($C414="","",IFERROR($D414*VLOOKUP($C414,Foods!$A:$E,5,FALSE),"Add to Foods"))</f>
        <v/>
      </c>
      <c r="H414" s="12"/>
      <c r="I414" s="12" t="str">
        <f>IF($C414="","",IF(COUNTIF(Foods!$A:$A,$C414)&gt;0,"Yes","No - add nickname"))</f>
        <v/>
      </c>
    </row>
    <row r="415" ht="15.75" customHeight="1">
      <c r="A415" s="17"/>
      <c r="B415" s="12"/>
      <c r="C415" s="12"/>
      <c r="D415" s="13"/>
      <c r="E415" s="13" t="str">
        <f>IF($C415="","",IFERROR($D415*VLOOKUP($C415,Foods!$A:$E,3,FALSE),"Add to Foods"))</f>
        <v/>
      </c>
      <c r="F415" s="13" t="str">
        <f>IF($C415="","",IFERROR($D415*VLOOKUP($C415,Foods!$A:$E,4,FALSE),"Add to Foods"))</f>
        <v/>
      </c>
      <c r="G415" s="13" t="str">
        <f>IF($C415="","",IFERROR($D415*VLOOKUP($C415,Foods!$A:$E,5,FALSE),"Add to Foods"))</f>
        <v/>
      </c>
      <c r="H415" s="12"/>
      <c r="I415" s="12" t="str">
        <f>IF($C415="","",IF(COUNTIF(Foods!$A:$A,$C415)&gt;0,"Yes","No - add nickname"))</f>
        <v/>
      </c>
    </row>
    <row r="416" ht="15.75" customHeight="1">
      <c r="A416" s="17"/>
      <c r="B416" s="12"/>
      <c r="C416" s="12"/>
      <c r="D416" s="13"/>
      <c r="E416" s="13" t="str">
        <f>IF($C416="","",IFERROR($D416*VLOOKUP($C416,Foods!$A:$E,3,FALSE),"Add to Foods"))</f>
        <v/>
      </c>
      <c r="F416" s="13" t="str">
        <f>IF($C416="","",IFERROR($D416*VLOOKUP($C416,Foods!$A:$E,4,FALSE),"Add to Foods"))</f>
        <v/>
      </c>
      <c r="G416" s="13" t="str">
        <f>IF($C416="","",IFERROR($D416*VLOOKUP($C416,Foods!$A:$E,5,FALSE),"Add to Foods"))</f>
        <v/>
      </c>
      <c r="H416" s="12"/>
      <c r="I416" s="12" t="str">
        <f>IF($C416="","",IF(COUNTIF(Foods!$A:$A,$C416)&gt;0,"Yes","No - add nickname"))</f>
        <v/>
      </c>
    </row>
    <row r="417" ht="15.75" customHeight="1">
      <c r="A417" s="17"/>
      <c r="B417" s="12"/>
      <c r="C417" s="12"/>
      <c r="D417" s="13"/>
      <c r="E417" s="13" t="str">
        <f>IF($C417="","",IFERROR($D417*VLOOKUP($C417,Foods!$A:$E,3,FALSE),"Add to Foods"))</f>
        <v/>
      </c>
      <c r="F417" s="13" t="str">
        <f>IF($C417="","",IFERROR($D417*VLOOKUP($C417,Foods!$A:$E,4,FALSE),"Add to Foods"))</f>
        <v/>
      </c>
      <c r="G417" s="13" t="str">
        <f>IF($C417="","",IFERROR($D417*VLOOKUP($C417,Foods!$A:$E,5,FALSE),"Add to Foods"))</f>
        <v/>
      </c>
      <c r="H417" s="12"/>
      <c r="I417" s="12" t="str">
        <f>IF($C417="","",IF(COUNTIF(Foods!$A:$A,$C417)&gt;0,"Yes","No - add nickname"))</f>
        <v/>
      </c>
    </row>
    <row r="418" ht="15.75" customHeight="1">
      <c r="A418" s="17"/>
      <c r="B418" s="12"/>
      <c r="C418" s="12"/>
      <c r="D418" s="13"/>
      <c r="E418" s="13" t="str">
        <f>IF($C418="","",IFERROR($D418*VLOOKUP($C418,Foods!$A:$E,3,FALSE),"Add to Foods"))</f>
        <v/>
      </c>
      <c r="F418" s="13" t="str">
        <f>IF($C418="","",IFERROR($D418*VLOOKUP($C418,Foods!$A:$E,4,FALSE),"Add to Foods"))</f>
        <v/>
      </c>
      <c r="G418" s="13" t="str">
        <f>IF($C418="","",IFERROR($D418*VLOOKUP($C418,Foods!$A:$E,5,FALSE),"Add to Foods"))</f>
        <v/>
      </c>
      <c r="H418" s="12"/>
      <c r="I418" s="12" t="str">
        <f>IF($C418="","",IF(COUNTIF(Foods!$A:$A,$C418)&gt;0,"Yes","No - add nickname"))</f>
        <v/>
      </c>
    </row>
    <row r="419" ht="15.75" customHeight="1">
      <c r="A419" s="17"/>
      <c r="B419" s="12"/>
      <c r="C419" s="12"/>
      <c r="D419" s="13"/>
      <c r="E419" s="13" t="str">
        <f>IF($C419="","",IFERROR($D419*VLOOKUP($C419,Foods!$A:$E,3,FALSE),"Add to Foods"))</f>
        <v/>
      </c>
      <c r="F419" s="13" t="str">
        <f>IF($C419="","",IFERROR($D419*VLOOKUP($C419,Foods!$A:$E,4,FALSE),"Add to Foods"))</f>
        <v/>
      </c>
      <c r="G419" s="13" t="str">
        <f>IF($C419="","",IFERROR($D419*VLOOKUP($C419,Foods!$A:$E,5,FALSE),"Add to Foods"))</f>
        <v/>
      </c>
      <c r="H419" s="12"/>
      <c r="I419" s="12" t="str">
        <f>IF($C419="","",IF(COUNTIF(Foods!$A:$A,$C419)&gt;0,"Yes","No - add nickname"))</f>
        <v/>
      </c>
    </row>
    <row r="420" ht="15.75" customHeight="1">
      <c r="A420" s="17"/>
      <c r="B420" s="12"/>
      <c r="C420" s="12"/>
      <c r="D420" s="13"/>
      <c r="E420" s="13" t="str">
        <f>IF($C420="","",IFERROR($D420*VLOOKUP($C420,Foods!$A:$E,3,FALSE),"Add to Foods"))</f>
        <v/>
      </c>
      <c r="F420" s="13" t="str">
        <f>IF($C420="","",IFERROR($D420*VLOOKUP($C420,Foods!$A:$E,4,FALSE),"Add to Foods"))</f>
        <v/>
      </c>
      <c r="G420" s="13" t="str">
        <f>IF($C420="","",IFERROR($D420*VLOOKUP($C420,Foods!$A:$E,5,FALSE),"Add to Foods"))</f>
        <v/>
      </c>
      <c r="H420" s="12"/>
      <c r="I420" s="12" t="str">
        <f>IF($C420="","",IF(COUNTIF(Foods!$A:$A,$C420)&gt;0,"Yes","No - add nickname"))</f>
        <v/>
      </c>
    </row>
    <row r="421" ht="15.75" customHeight="1">
      <c r="A421" s="17"/>
      <c r="B421" s="12"/>
      <c r="C421" s="12"/>
      <c r="D421" s="13"/>
      <c r="E421" s="13" t="str">
        <f>IF($C421="","",IFERROR($D421*VLOOKUP($C421,Foods!$A:$E,3,FALSE),"Add to Foods"))</f>
        <v/>
      </c>
      <c r="F421" s="13" t="str">
        <f>IF($C421="","",IFERROR($D421*VLOOKUP($C421,Foods!$A:$E,4,FALSE),"Add to Foods"))</f>
        <v/>
      </c>
      <c r="G421" s="13" t="str">
        <f>IF($C421="","",IFERROR($D421*VLOOKUP($C421,Foods!$A:$E,5,FALSE),"Add to Foods"))</f>
        <v/>
      </c>
      <c r="H421" s="12"/>
      <c r="I421" s="12" t="str">
        <f>IF($C421="","",IF(COUNTIF(Foods!$A:$A,$C421)&gt;0,"Yes","No - add nickname"))</f>
        <v/>
      </c>
    </row>
    <row r="422" ht="15.75" customHeight="1">
      <c r="A422" s="17"/>
      <c r="B422" s="12"/>
      <c r="C422" s="12"/>
      <c r="D422" s="13"/>
      <c r="E422" s="13" t="str">
        <f>IF($C422="","",IFERROR($D422*VLOOKUP($C422,Foods!$A:$E,3,FALSE),"Add to Foods"))</f>
        <v/>
      </c>
      <c r="F422" s="13" t="str">
        <f>IF($C422="","",IFERROR($D422*VLOOKUP($C422,Foods!$A:$E,4,FALSE),"Add to Foods"))</f>
        <v/>
      </c>
      <c r="G422" s="13" t="str">
        <f>IF($C422="","",IFERROR($D422*VLOOKUP($C422,Foods!$A:$E,5,FALSE),"Add to Foods"))</f>
        <v/>
      </c>
      <c r="H422" s="12"/>
      <c r="I422" s="12" t="str">
        <f>IF($C422="","",IF(COUNTIF(Foods!$A:$A,$C422)&gt;0,"Yes","No - add nickname"))</f>
        <v/>
      </c>
    </row>
    <row r="423" ht="15.75" customHeight="1">
      <c r="A423" s="17"/>
      <c r="B423" s="12"/>
      <c r="C423" s="12"/>
      <c r="D423" s="13"/>
      <c r="E423" s="13" t="str">
        <f>IF($C423="","",IFERROR($D423*VLOOKUP($C423,Foods!$A:$E,3,FALSE),"Add to Foods"))</f>
        <v/>
      </c>
      <c r="F423" s="13" t="str">
        <f>IF($C423="","",IFERROR($D423*VLOOKUP($C423,Foods!$A:$E,4,FALSE),"Add to Foods"))</f>
        <v/>
      </c>
      <c r="G423" s="13" t="str">
        <f>IF($C423="","",IFERROR($D423*VLOOKUP($C423,Foods!$A:$E,5,FALSE),"Add to Foods"))</f>
        <v/>
      </c>
      <c r="H423" s="12"/>
      <c r="I423" s="12" t="str">
        <f>IF($C423="","",IF(COUNTIF(Foods!$A:$A,$C423)&gt;0,"Yes","No - add nickname"))</f>
        <v/>
      </c>
    </row>
    <row r="424" ht="15.75" customHeight="1">
      <c r="A424" s="17"/>
      <c r="B424" s="12"/>
      <c r="C424" s="12"/>
      <c r="D424" s="13"/>
      <c r="E424" s="13" t="str">
        <f>IF($C424="","",IFERROR($D424*VLOOKUP($C424,Foods!$A:$E,3,FALSE),"Add to Foods"))</f>
        <v/>
      </c>
      <c r="F424" s="13" t="str">
        <f>IF($C424="","",IFERROR($D424*VLOOKUP($C424,Foods!$A:$E,4,FALSE),"Add to Foods"))</f>
        <v/>
      </c>
      <c r="G424" s="13" t="str">
        <f>IF($C424="","",IFERROR($D424*VLOOKUP($C424,Foods!$A:$E,5,FALSE),"Add to Foods"))</f>
        <v/>
      </c>
      <c r="H424" s="12"/>
      <c r="I424" s="12" t="str">
        <f>IF($C424="","",IF(COUNTIF(Foods!$A:$A,$C424)&gt;0,"Yes","No - add nickname"))</f>
        <v/>
      </c>
    </row>
    <row r="425" ht="15.75" customHeight="1">
      <c r="A425" s="17"/>
      <c r="B425" s="12"/>
      <c r="C425" s="12"/>
      <c r="D425" s="13"/>
      <c r="E425" s="13" t="str">
        <f>IF($C425="","",IFERROR($D425*VLOOKUP($C425,Foods!$A:$E,3,FALSE),"Add to Foods"))</f>
        <v/>
      </c>
      <c r="F425" s="13" t="str">
        <f>IF($C425="","",IFERROR($D425*VLOOKUP($C425,Foods!$A:$E,4,FALSE),"Add to Foods"))</f>
        <v/>
      </c>
      <c r="G425" s="13" t="str">
        <f>IF($C425="","",IFERROR($D425*VLOOKUP($C425,Foods!$A:$E,5,FALSE),"Add to Foods"))</f>
        <v/>
      </c>
      <c r="H425" s="12"/>
      <c r="I425" s="12" t="str">
        <f>IF($C425="","",IF(COUNTIF(Foods!$A:$A,$C425)&gt;0,"Yes","No - add nickname"))</f>
        <v/>
      </c>
    </row>
    <row r="426" ht="15.75" customHeight="1">
      <c r="A426" s="17"/>
      <c r="B426" s="12"/>
      <c r="C426" s="12"/>
      <c r="D426" s="13"/>
      <c r="E426" s="13" t="str">
        <f>IF($C426="","",IFERROR($D426*VLOOKUP($C426,Foods!$A:$E,3,FALSE),"Add to Foods"))</f>
        <v/>
      </c>
      <c r="F426" s="13" t="str">
        <f>IF($C426="","",IFERROR($D426*VLOOKUP($C426,Foods!$A:$E,4,FALSE),"Add to Foods"))</f>
        <v/>
      </c>
      <c r="G426" s="13" t="str">
        <f>IF($C426="","",IFERROR($D426*VLOOKUP($C426,Foods!$A:$E,5,FALSE),"Add to Foods"))</f>
        <v/>
      </c>
      <c r="H426" s="12"/>
      <c r="I426" s="12" t="str">
        <f>IF($C426="","",IF(COUNTIF(Foods!$A:$A,$C426)&gt;0,"Yes","No - add nickname"))</f>
        <v/>
      </c>
    </row>
    <row r="427" ht="15.75" customHeight="1">
      <c r="A427" s="17"/>
      <c r="B427" s="12"/>
      <c r="C427" s="12"/>
      <c r="D427" s="13"/>
      <c r="E427" s="13" t="str">
        <f>IF($C427="","",IFERROR($D427*VLOOKUP($C427,Foods!$A:$E,3,FALSE),"Add to Foods"))</f>
        <v/>
      </c>
      <c r="F427" s="13" t="str">
        <f>IF($C427="","",IFERROR($D427*VLOOKUP($C427,Foods!$A:$E,4,FALSE),"Add to Foods"))</f>
        <v/>
      </c>
      <c r="G427" s="13" t="str">
        <f>IF($C427="","",IFERROR($D427*VLOOKUP($C427,Foods!$A:$E,5,FALSE),"Add to Foods"))</f>
        <v/>
      </c>
      <c r="H427" s="12"/>
      <c r="I427" s="12" t="str">
        <f>IF($C427="","",IF(COUNTIF(Foods!$A:$A,$C427)&gt;0,"Yes","No - add nickname"))</f>
        <v/>
      </c>
    </row>
    <row r="428" ht="15.75" customHeight="1">
      <c r="A428" s="17"/>
      <c r="B428" s="12"/>
      <c r="C428" s="12"/>
      <c r="D428" s="13"/>
      <c r="E428" s="13" t="str">
        <f>IF($C428="","",IFERROR($D428*VLOOKUP($C428,Foods!$A:$E,3,FALSE),"Add to Foods"))</f>
        <v/>
      </c>
      <c r="F428" s="13" t="str">
        <f>IF($C428="","",IFERROR($D428*VLOOKUP($C428,Foods!$A:$E,4,FALSE),"Add to Foods"))</f>
        <v/>
      </c>
      <c r="G428" s="13" t="str">
        <f>IF($C428="","",IFERROR($D428*VLOOKUP($C428,Foods!$A:$E,5,FALSE),"Add to Foods"))</f>
        <v/>
      </c>
      <c r="H428" s="12"/>
      <c r="I428" s="12" t="str">
        <f>IF($C428="","",IF(COUNTIF(Foods!$A:$A,$C428)&gt;0,"Yes","No - add nickname"))</f>
        <v/>
      </c>
    </row>
    <row r="429" ht="15.75" customHeight="1">
      <c r="A429" s="17"/>
      <c r="B429" s="12"/>
      <c r="C429" s="12"/>
      <c r="D429" s="13"/>
      <c r="E429" s="13" t="str">
        <f>IF($C429="","",IFERROR($D429*VLOOKUP($C429,Foods!$A:$E,3,FALSE),"Add to Foods"))</f>
        <v/>
      </c>
      <c r="F429" s="13" t="str">
        <f>IF($C429="","",IFERROR($D429*VLOOKUP($C429,Foods!$A:$E,4,FALSE),"Add to Foods"))</f>
        <v/>
      </c>
      <c r="G429" s="13" t="str">
        <f>IF($C429="","",IFERROR($D429*VLOOKUP($C429,Foods!$A:$E,5,FALSE),"Add to Foods"))</f>
        <v/>
      </c>
      <c r="H429" s="12"/>
      <c r="I429" s="12" t="str">
        <f>IF($C429="","",IF(COUNTIF(Foods!$A:$A,$C429)&gt;0,"Yes","No - add nickname"))</f>
        <v/>
      </c>
    </row>
    <row r="430" ht="15.75" customHeight="1">
      <c r="A430" s="17"/>
      <c r="B430" s="12"/>
      <c r="C430" s="12"/>
      <c r="D430" s="13"/>
      <c r="E430" s="13" t="str">
        <f>IF($C430="","",IFERROR($D430*VLOOKUP($C430,Foods!$A:$E,3,FALSE),"Add to Foods"))</f>
        <v/>
      </c>
      <c r="F430" s="13" t="str">
        <f>IF($C430="","",IFERROR($D430*VLOOKUP($C430,Foods!$A:$E,4,FALSE),"Add to Foods"))</f>
        <v/>
      </c>
      <c r="G430" s="13" t="str">
        <f>IF($C430="","",IFERROR($D430*VLOOKUP($C430,Foods!$A:$E,5,FALSE),"Add to Foods"))</f>
        <v/>
      </c>
      <c r="H430" s="12"/>
      <c r="I430" s="12" t="str">
        <f>IF($C430="","",IF(COUNTIF(Foods!$A:$A,$C430)&gt;0,"Yes","No - add nickname"))</f>
        <v/>
      </c>
    </row>
    <row r="431" ht="15.75" customHeight="1">
      <c r="A431" s="17"/>
      <c r="B431" s="12"/>
      <c r="C431" s="12"/>
      <c r="D431" s="13"/>
      <c r="E431" s="13" t="str">
        <f>IF($C431="","",IFERROR($D431*VLOOKUP($C431,Foods!$A:$E,3,FALSE),"Add to Foods"))</f>
        <v/>
      </c>
      <c r="F431" s="13" t="str">
        <f>IF($C431="","",IFERROR($D431*VLOOKUP($C431,Foods!$A:$E,4,FALSE),"Add to Foods"))</f>
        <v/>
      </c>
      <c r="G431" s="13" t="str">
        <f>IF($C431="","",IFERROR($D431*VLOOKUP($C431,Foods!$A:$E,5,FALSE),"Add to Foods"))</f>
        <v/>
      </c>
      <c r="H431" s="12"/>
      <c r="I431" s="12" t="str">
        <f>IF($C431="","",IF(COUNTIF(Foods!$A:$A,$C431)&gt;0,"Yes","No - add nickname"))</f>
        <v/>
      </c>
    </row>
    <row r="432" ht="15.75" customHeight="1">
      <c r="A432" s="17"/>
      <c r="B432" s="12"/>
      <c r="C432" s="12"/>
      <c r="D432" s="13"/>
      <c r="E432" s="13" t="str">
        <f>IF($C432="","",IFERROR($D432*VLOOKUP($C432,Foods!$A:$E,3,FALSE),"Add to Foods"))</f>
        <v/>
      </c>
      <c r="F432" s="13" t="str">
        <f>IF($C432="","",IFERROR($D432*VLOOKUP($C432,Foods!$A:$E,4,FALSE),"Add to Foods"))</f>
        <v/>
      </c>
      <c r="G432" s="13" t="str">
        <f>IF($C432="","",IFERROR($D432*VLOOKUP($C432,Foods!$A:$E,5,FALSE),"Add to Foods"))</f>
        <v/>
      </c>
      <c r="H432" s="12"/>
      <c r="I432" s="12" t="str">
        <f>IF($C432="","",IF(COUNTIF(Foods!$A:$A,$C432)&gt;0,"Yes","No - add nickname"))</f>
        <v/>
      </c>
    </row>
    <row r="433" ht="15.75" customHeight="1">
      <c r="A433" s="17"/>
      <c r="B433" s="12"/>
      <c r="C433" s="12"/>
      <c r="D433" s="13"/>
      <c r="E433" s="13" t="str">
        <f>IF($C433="","",IFERROR($D433*VLOOKUP($C433,Foods!$A:$E,3,FALSE),"Add to Foods"))</f>
        <v/>
      </c>
      <c r="F433" s="13" t="str">
        <f>IF($C433="","",IFERROR($D433*VLOOKUP($C433,Foods!$A:$E,4,FALSE),"Add to Foods"))</f>
        <v/>
      </c>
      <c r="G433" s="13" t="str">
        <f>IF($C433="","",IFERROR($D433*VLOOKUP($C433,Foods!$A:$E,5,FALSE),"Add to Foods"))</f>
        <v/>
      </c>
      <c r="H433" s="12"/>
      <c r="I433" s="12" t="str">
        <f>IF($C433="","",IF(COUNTIF(Foods!$A:$A,$C433)&gt;0,"Yes","No - add nickname"))</f>
        <v/>
      </c>
    </row>
    <row r="434" ht="15.75" customHeight="1">
      <c r="A434" s="17"/>
      <c r="B434" s="12"/>
      <c r="C434" s="12"/>
      <c r="D434" s="13"/>
      <c r="E434" s="13" t="str">
        <f>IF($C434="","",IFERROR($D434*VLOOKUP($C434,Foods!$A:$E,3,FALSE),"Add to Foods"))</f>
        <v/>
      </c>
      <c r="F434" s="13" t="str">
        <f>IF($C434="","",IFERROR($D434*VLOOKUP($C434,Foods!$A:$E,4,FALSE),"Add to Foods"))</f>
        <v/>
      </c>
      <c r="G434" s="13" t="str">
        <f>IF($C434="","",IFERROR($D434*VLOOKUP($C434,Foods!$A:$E,5,FALSE),"Add to Foods"))</f>
        <v/>
      </c>
      <c r="H434" s="12"/>
      <c r="I434" s="12" t="str">
        <f>IF($C434="","",IF(COUNTIF(Foods!$A:$A,$C434)&gt;0,"Yes","No - add nickname"))</f>
        <v/>
      </c>
    </row>
    <row r="435" ht="15.75" customHeight="1">
      <c r="A435" s="17"/>
      <c r="B435" s="12"/>
      <c r="C435" s="12"/>
      <c r="D435" s="13"/>
      <c r="E435" s="13" t="str">
        <f>IF($C435="","",IFERROR($D435*VLOOKUP($C435,Foods!$A:$E,3,FALSE),"Add to Foods"))</f>
        <v/>
      </c>
      <c r="F435" s="13" t="str">
        <f>IF($C435="","",IFERROR($D435*VLOOKUP($C435,Foods!$A:$E,4,FALSE),"Add to Foods"))</f>
        <v/>
      </c>
      <c r="G435" s="13" t="str">
        <f>IF($C435="","",IFERROR($D435*VLOOKUP($C435,Foods!$A:$E,5,FALSE),"Add to Foods"))</f>
        <v/>
      </c>
      <c r="H435" s="12"/>
      <c r="I435" s="12" t="str">
        <f>IF($C435="","",IF(COUNTIF(Foods!$A:$A,$C435)&gt;0,"Yes","No - add nickname"))</f>
        <v/>
      </c>
    </row>
    <row r="436" ht="15.75" customHeight="1">
      <c r="A436" s="17"/>
      <c r="B436" s="12"/>
      <c r="C436" s="12"/>
      <c r="D436" s="13"/>
      <c r="E436" s="13" t="str">
        <f>IF($C436="","",IFERROR($D436*VLOOKUP($C436,Foods!$A:$E,3,FALSE),"Add to Foods"))</f>
        <v/>
      </c>
      <c r="F436" s="13" t="str">
        <f>IF($C436="","",IFERROR($D436*VLOOKUP($C436,Foods!$A:$E,4,FALSE),"Add to Foods"))</f>
        <v/>
      </c>
      <c r="G436" s="13" t="str">
        <f>IF($C436="","",IFERROR($D436*VLOOKUP($C436,Foods!$A:$E,5,FALSE),"Add to Foods"))</f>
        <v/>
      </c>
      <c r="H436" s="12"/>
      <c r="I436" s="12" t="str">
        <f>IF($C436="","",IF(COUNTIF(Foods!$A:$A,$C436)&gt;0,"Yes","No - add nickname"))</f>
        <v/>
      </c>
    </row>
    <row r="437" ht="15.75" customHeight="1">
      <c r="A437" s="17"/>
      <c r="B437" s="12"/>
      <c r="C437" s="12"/>
      <c r="D437" s="13"/>
      <c r="E437" s="13" t="str">
        <f>IF($C437="","",IFERROR($D437*VLOOKUP($C437,Foods!$A:$E,3,FALSE),"Add to Foods"))</f>
        <v/>
      </c>
      <c r="F437" s="13" t="str">
        <f>IF($C437="","",IFERROR($D437*VLOOKUP($C437,Foods!$A:$E,4,FALSE),"Add to Foods"))</f>
        <v/>
      </c>
      <c r="G437" s="13" t="str">
        <f>IF($C437="","",IFERROR($D437*VLOOKUP($C437,Foods!$A:$E,5,FALSE),"Add to Foods"))</f>
        <v/>
      </c>
      <c r="H437" s="12"/>
      <c r="I437" s="12" t="str">
        <f>IF($C437="","",IF(COUNTIF(Foods!$A:$A,$C437)&gt;0,"Yes","No - add nickname"))</f>
        <v/>
      </c>
    </row>
    <row r="438" ht="15.75" customHeight="1">
      <c r="A438" s="17"/>
      <c r="B438" s="12"/>
      <c r="C438" s="12"/>
      <c r="D438" s="13"/>
      <c r="E438" s="13" t="str">
        <f>IF($C438="","",IFERROR($D438*VLOOKUP($C438,Foods!$A:$E,3,FALSE),"Add to Foods"))</f>
        <v/>
      </c>
      <c r="F438" s="13" t="str">
        <f>IF($C438="","",IFERROR($D438*VLOOKUP($C438,Foods!$A:$E,4,FALSE),"Add to Foods"))</f>
        <v/>
      </c>
      <c r="G438" s="13" t="str">
        <f>IF($C438="","",IFERROR($D438*VLOOKUP($C438,Foods!$A:$E,5,FALSE),"Add to Foods"))</f>
        <v/>
      </c>
      <c r="H438" s="12"/>
      <c r="I438" s="12" t="str">
        <f>IF($C438="","",IF(COUNTIF(Foods!$A:$A,$C438)&gt;0,"Yes","No - add nickname"))</f>
        <v/>
      </c>
    </row>
    <row r="439" ht="15.75" customHeight="1">
      <c r="A439" s="17"/>
      <c r="B439" s="12"/>
      <c r="C439" s="12"/>
      <c r="D439" s="13"/>
      <c r="E439" s="13" t="str">
        <f>IF($C439="","",IFERROR($D439*VLOOKUP($C439,Foods!$A:$E,3,FALSE),"Add to Foods"))</f>
        <v/>
      </c>
      <c r="F439" s="13" t="str">
        <f>IF($C439="","",IFERROR($D439*VLOOKUP($C439,Foods!$A:$E,4,FALSE),"Add to Foods"))</f>
        <v/>
      </c>
      <c r="G439" s="13" t="str">
        <f>IF($C439="","",IFERROR($D439*VLOOKUP($C439,Foods!$A:$E,5,FALSE),"Add to Foods"))</f>
        <v/>
      </c>
      <c r="H439" s="12"/>
      <c r="I439" s="12" t="str">
        <f>IF($C439="","",IF(COUNTIF(Foods!$A:$A,$C439)&gt;0,"Yes","No - add nickname"))</f>
        <v/>
      </c>
    </row>
    <row r="440" ht="15.75" customHeight="1">
      <c r="A440" s="17"/>
      <c r="B440" s="12"/>
      <c r="C440" s="12"/>
      <c r="D440" s="13"/>
      <c r="E440" s="13" t="str">
        <f>IF($C440="","",IFERROR($D440*VLOOKUP($C440,Foods!$A:$E,3,FALSE),"Add to Foods"))</f>
        <v/>
      </c>
      <c r="F440" s="13" t="str">
        <f>IF($C440="","",IFERROR($D440*VLOOKUP($C440,Foods!$A:$E,4,FALSE),"Add to Foods"))</f>
        <v/>
      </c>
      <c r="G440" s="13" t="str">
        <f>IF($C440="","",IFERROR($D440*VLOOKUP($C440,Foods!$A:$E,5,FALSE),"Add to Foods"))</f>
        <v/>
      </c>
      <c r="H440" s="12"/>
      <c r="I440" s="12" t="str">
        <f>IF($C440="","",IF(COUNTIF(Foods!$A:$A,$C440)&gt;0,"Yes","No - add nickname"))</f>
        <v/>
      </c>
    </row>
    <row r="441" ht="15.75" customHeight="1">
      <c r="A441" s="17"/>
      <c r="B441" s="12"/>
      <c r="C441" s="12"/>
      <c r="D441" s="13"/>
      <c r="E441" s="13" t="str">
        <f>IF($C441="","",IFERROR($D441*VLOOKUP($C441,Foods!$A:$E,3,FALSE),"Add to Foods"))</f>
        <v/>
      </c>
      <c r="F441" s="13" t="str">
        <f>IF($C441="","",IFERROR($D441*VLOOKUP($C441,Foods!$A:$E,4,FALSE),"Add to Foods"))</f>
        <v/>
      </c>
      <c r="G441" s="13" t="str">
        <f>IF($C441="","",IFERROR($D441*VLOOKUP($C441,Foods!$A:$E,5,FALSE),"Add to Foods"))</f>
        <v/>
      </c>
      <c r="H441" s="12"/>
      <c r="I441" s="12" t="str">
        <f>IF($C441="","",IF(COUNTIF(Foods!$A:$A,$C441)&gt;0,"Yes","No - add nickname"))</f>
        <v/>
      </c>
    </row>
    <row r="442" ht="15.75" customHeight="1">
      <c r="A442" s="17"/>
      <c r="B442" s="12"/>
      <c r="C442" s="12"/>
      <c r="D442" s="13"/>
      <c r="E442" s="13" t="str">
        <f>IF($C442="","",IFERROR($D442*VLOOKUP($C442,Foods!$A:$E,3,FALSE),"Add to Foods"))</f>
        <v/>
      </c>
      <c r="F442" s="13" t="str">
        <f>IF($C442="","",IFERROR($D442*VLOOKUP($C442,Foods!$A:$E,4,FALSE),"Add to Foods"))</f>
        <v/>
      </c>
      <c r="G442" s="13" t="str">
        <f>IF($C442="","",IFERROR($D442*VLOOKUP($C442,Foods!$A:$E,5,FALSE),"Add to Foods"))</f>
        <v/>
      </c>
      <c r="H442" s="12"/>
      <c r="I442" s="12" t="str">
        <f>IF($C442="","",IF(COUNTIF(Foods!$A:$A,$C442)&gt;0,"Yes","No - add nickname"))</f>
        <v/>
      </c>
    </row>
    <row r="443" ht="15.75" customHeight="1">
      <c r="A443" s="17"/>
      <c r="B443" s="12"/>
      <c r="C443" s="12"/>
      <c r="D443" s="13"/>
      <c r="E443" s="13" t="str">
        <f>IF($C443="","",IFERROR($D443*VLOOKUP($C443,Foods!$A:$E,3,FALSE),"Add to Foods"))</f>
        <v/>
      </c>
      <c r="F443" s="13" t="str">
        <f>IF($C443="","",IFERROR($D443*VLOOKUP($C443,Foods!$A:$E,4,FALSE),"Add to Foods"))</f>
        <v/>
      </c>
      <c r="G443" s="13" t="str">
        <f>IF($C443="","",IFERROR($D443*VLOOKUP($C443,Foods!$A:$E,5,FALSE),"Add to Foods"))</f>
        <v/>
      </c>
      <c r="H443" s="12"/>
      <c r="I443" s="12" t="str">
        <f>IF($C443="","",IF(COUNTIF(Foods!$A:$A,$C443)&gt;0,"Yes","No - add nickname"))</f>
        <v/>
      </c>
    </row>
    <row r="444" ht="15.75" customHeight="1">
      <c r="A444" s="17"/>
      <c r="B444" s="12"/>
      <c r="C444" s="12"/>
      <c r="D444" s="13"/>
      <c r="E444" s="13" t="str">
        <f>IF($C444="","",IFERROR($D444*VLOOKUP($C444,Foods!$A:$E,3,FALSE),"Add to Foods"))</f>
        <v/>
      </c>
      <c r="F444" s="13" t="str">
        <f>IF($C444="","",IFERROR($D444*VLOOKUP($C444,Foods!$A:$E,4,FALSE),"Add to Foods"))</f>
        <v/>
      </c>
      <c r="G444" s="13" t="str">
        <f>IF($C444="","",IFERROR($D444*VLOOKUP($C444,Foods!$A:$E,5,FALSE),"Add to Foods"))</f>
        <v/>
      </c>
      <c r="H444" s="12"/>
      <c r="I444" s="12" t="str">
        <f>IF($C444="","",IF(COUNTIF(Foods!$A:$A,$C444)&gt;0,"Yes","No - add nickname"))</f>
        <v/>
      </c>
    </row>
    <row r="445" ht="15.75" customHeight="1">
      <c r="A445" s="17"/>
      <c r="B445" s="12"/>
      <c r="C445" s="12"/>
      <c r="D445" s="13"/>
      <c r="E445" s="13" t="str">
        <f>IF($C445="","",IFERROR($D445*VLOOKUP($C445,Foods!$A:$E,3,FALSE),"Add to Foods"))</f>
        <v/>
      </c>
      <c r="F445" s="13" t="str">
        <f>IF($C445="","",IFERROR($D445*VLOOKUP($C445,Foods!$A:$E,4,FALSE),"Add to Foods"))</f>
        <v/>
      </c>
      <c r="G445" s="13" t="str">
        <f>IF($C445="","",IFERROR($D445*VLOOKUP($C445,Foods!$A:$E,5,FALSE),"Add to Foods"))</f>
        <v/>
      </c>
      <c r="H445" s="12"/>
      <c r="I445" s="12" t="str">
        <f>IF($C445="","",IF(COUNTIF(Foods!$A:$A,$C445)&gt;0,"Yes","No - add nickname"))</f>
        <v/>
      </c>
    </row>
    <row r="446" ht="15.75" customHeight="1">
      <c r="A446" s="17"/>
      <c r="B446" s="12"/>
      <c r="C446" s="12"/>
      <c r="D446" s="13"/>
      <c r="E446" s="13" t="str">
        <f>IF($C446="","",IFERROR($D446*VLOOKUP($C446,Foods!$A:$E,3,FALSE),"Add to Foods"))</f>
        <v/>
      </c>
      <c r="F446" s="13" t="str">
        <f>IF($C446="","",IFERROR($D446*VLOOKUP($C446,Foods!$A:$E,4,FALSE),"Add to Foods"))</f>
        <v/>
      </c>
      <c r="G446" s="13" t="str">
        <f>IF($C446="","",IFERROR($D446*VLOOKUP($C446,Foods!$A:$E,5,FALSE),"Add to Foods"))</f>
        <v/>
      </c>
      <c r="H446" s="12"/>
      <c r="I446" s="12" t="str">
        <f>IF($C446="","",IF(COUNTIF(Foods!$A:$A,$C446)&gt;0,"Yes","No - add nickname"))</f>
        <v/>
      </c>
    </row>
    <row r="447" ht="15.75" customHeight="1">
      <c r="A447" s="17"/>
      <c r="B447" s="12"/>
      <c r="C447" s="12"/>
      <c r="D447" s="13"/>
      <c r="E447" s="13" t="str">
        <f>IF($C447="","",IFERROR($D447*VLOOKUP($C447,Foods!$A:$E,3,FALSE),"Add to Foods"))</f>
        <v/>
      </c>
      <c r="F447" s="13" t="str">
        <f>IF($C447="","",IFERROR($D447*VLOOKUP($C447,Foods!$A:$E,4,FALSE),"Add to Foods"))</f>
        <v/>
      </c>
      <c r="G447" s="13" t="str">
        <f>IF($C447="","",IFERROR($D447*VLOOKUP($C447,Foods!$A:$E,5,FALSE),"Add to Foods"))</f>
        <v/>
      </c>
      <c r="H447" s="12"/>
      <c r="I447" s="12" t="str">
        <f>IF($C447="","",IF(COUNTIF(Foods!$A:$A,$C447)&gt;0,"Yes","No - add nickname"))</f>
        <v/>
      </c>
    </row>
    <row r="448" ht="15.75" customHeight="1">
      <c r="A448" s="17"/>
      <c r="B448" s="12"/>
      <c r="C448" s="12"/>
      <c r="D448" s="13"/>
      <c r="E448" s="13" t="str">
        <f>IF($C448="","",IFERROR($D448*VLOOKUP($C448,Foods!$A:$E,3,FALSE),"Add to Foods"))</f>
        <v/>
      </c>
      <c r="F448" s="13" t="str">
        <f>IF($C448="","",IFERROR($D448*VLOOKUP($C448,Foods!$A:$E,4,FALSE),"Add to Foods"))</f>
        <v/>
      </c>
      <c r="G448" s="13" t="str">
        <f>IF($C448="","",IFERROR($D448*VLOOKUP($C448,Foods!$A:$E,5,FALSE),"Add to Foods"))</f>
        <v/>
      </c>
      <c r="H448" s="12"/>
      <c r="I448" s="12" t="str">
        <f>IF($C448="","",IF(COUNTIF(Foods!$A:$A,$C448)&gt;0,"Yes","No - add nickname"))</f>
        <v/>
      </c>
    </row>
    <row r="449" ht="15.75" customHeight="1">
      <c r="A449" s="17"/>
      <c r="B449" s="12"/>
      <c r="C449" s="12"/>
      <c r="D449" s="13"/>
      <c r="E449" s="13" t="str">
        <f>IF($C449="","",IFERROR($D449*VLOOKUP($C449,Foods!$A:$E,3,FALSE),"Add to Foods"))</f>
        <v/>
      </c>
      <c r="F449" s="13" t="str">
        <f>IF($C449="","",IFERROR($D449*VLOOKUP($C449,Foods!$A:$E,4,FALSE),"Add to Foods"))</f>
        <v/>
      </c>
      <c r="G449" s="13" t="str">
        <f>IF($C449="","",IFERROR($D449*VLOOKUP($C449,Foods!$A:$E,5,FALSE),"Add to Foods"))</f>
        <v/>
      </c>
      <c r="H449" s="12"/>
      <c r="I449" s="12" t="str">
        <f>IF($C449="","",IF(COUNTIF(Foods!$A:$A,$C449)&gt;0,"Yes","No - add nickname"))</f>
        <v/>
      </c>
    </row>
    <row r="450" ht="15.75" customHeight="1">
      <c r="A450" s="17"/>
      <c r="B450" s="12"/>
      <c r="C450" s="12"/>
      <c r="D450" s="13"/>
      <c r="E450" s="13" t="str">
        <f>IF($C450="","",IFERROR($D450*VLOOKUP($C450,Foods!$A:$E,3,FALSE),"Add to Foods"))</f>
        <v/>
      </c>
      <c r="F450" s="13" t="str">
        <f>IF($C450="","",IFERROR($D450*VLOOKUP($C450,Foods!$A:$E,4,FALSE),"Add to Foods"))</f>
        <v/>
      </c>
      <c r="G450" s="13" t="str">
        <f>IF($C450="","",IFERROR($D450*VLOOKUP($C450,Foods!$A:$E,5,FALSE),"Add to Foods"))</f>
        <v/>
      </c>
      <c r="H450" s="12"/>
      <c r="I450" s="12" t="str">
        <f>IF($C450="","",IF(COUNTIF(Foods!$A:$A,$C450)&gt;0,"Yes","No - add nickname"))</f>
        <v/>
      </c>
    </row>
    <row r="451" ht="15.75" customHeight="1">
      <c r="A451" s="17"/>
      <c r="B451" s="12"/>
      <c r="C451" s="12"/>
      <c r="D451" s="13"/>
      <c r="E451" s="13" t="str">
        <f>IF($C451="","",IFERROR($D451*VLOOKUP($C451,Foods!$A:$E,3,FALSE),"Add to Foods"))</f>
        <v/>
      </c>
      <c r="F451" s="13" t="str">
        <f>IF($C451="","",IFERROR($D451*VLOOKUP($C451,Foods!$A:$E,4,FALSE),"Add to Foods"))</f>
        <v/>
      </c>
      <c r="G451" s="13" t="str">
        <f>IF($C451="","",IFERROR($D451*VLOOKUP($C451,Foods!$A:$E,5,FALSE),"Add to Foods"))</f>
        <v/>
      </c>
      <c r="H451" s="12"/>
      <c r="I451" s="12" t="str">
        <f>IF($C451="","",IF(COUNTIF(Foods!$A:$A,$C451)&gt;0,"Yes","No - add nickname"))</f>
        <v/>
      </c>
    </row>
    <row r="452" ht="15.75" customHeight="1">
      <c r="A452" s="17"/>
      <c r="B452" s="12"/>
      <c r="C452" s="12"/>
      <c r="D452" s="13"/>
      <c r="E452" s="13" t="str">
        <f>IF($C452="","",IFERROR($D452*VLOOKUP($C452,Foods!$A:$E,3,FALSE),"Add to Foods"))</f>
        <v/>
      </c>
      <c r="F452" s="13" t="str">
        <f>IF($C452="","",IFERROR($D452*VLOOKUP($C452,Foods!$A:$E,4,FALSE),"Add to Foods"))</f>
        <v/>
      </c>
      <c r="G452" s="13" t="str">
        <f>IF($C452="","",IFERROR($D452*VLOOKUP($C452,Foods!$A:$E,5,FALSE),"Add to Foods"))</f>
        <v/>
      </c>
      <c r="H452" s="12"/>
      <c r="I452" s="12" t="str">
        <f>IF($C452="","",IF(COUNTIF(Foods!$A:$A,$C452)&gt;0,"Yes","No - add nickname"))</f>
        <v/>
      </c>
    </row>
    <row r="453" ht="15.75" customHeight="1">
      <c r="A453" s="17"/>
      <c r="B453" s="12"/>
      <c r="C453" s="12"/>
      <c r="D453" s="13"/>
      <c r="E453" s="13" t="str">
        <f>IF($C453="","",IFERROR($D453*VLOOKUP($C453,Foods!$A:$E,3,FALSE),"Add to Foods"))</f>
        <v/>
      </c>
      <c r="F453" s="13" t="str">
        <f>IF($C453="","",IFERROR($D453*VLOOKUP($C453,Foods!$A:$E,4,FALSE),"Add to Foods"))</f>
        <v/>
      </c>
      <c r="G453" s="13" t="str">
        <f>IF($C453="","",IFERROR($D453*VLOOKUP($C453,Foods!$A:$E,5,FALSE),"Add to Foods"))</f>
        <v/>
      </c>
      <c r="H453" s="12"/>
      <c r="I453" s="12" t="str">
        <f>IF($C453="","",IF(COUNTIF(Foods!$A:$A,$C453)&gt;0,"Yes","No - add nickname"))</f>
        <v/>
      </c>
    </row>
    <row r="454" ht="15.75" customHeight="1">
      <c r="A454" s="17"/>
      <c r="B454" s="12"/>
      <c r="C454" s="12"/>
      <c r="D454" s="13"/>
      <c r="E454" s="13" t="str">
        <f>IF($C454="","",IFERROR($D454*VLOOKUP($C454,Foods!$A:$E,3,FALSE),"Add to Foods"))</f>
        <v/>
      </c>
      <c r="F454" s="13" t="str">
        <f>IF($C454="","",IFERROR($D454*VLOOKUP($C454,Foods!$A:$E,4,FALSE),"Add to Foods"))</f>
        <v/>
      </c>
      <c r="G454" s="13" t="str">
        <f>IF($C454="","",IFERROR($D454*VLOOKUP($C454,Foods!$A:$E,5,FALSE),"Add to Foods"))</f>
        <v/>
      </c>
      <c r="H454" s="12"/>
      <c r="I454" s="12" t="str">
        <f>IF($C454="","",IF(COUNTIF(Foods!$A:$A,$C454)&gt;0,"Yes","No - add nickname"))</f>
        <v/>
      </c>
    </row>
    <row r="455" ht="15.75" customHeight="1">
      <c r="A455" s="17"/>
      <c r="B455" s="12"/>
      <c r="C455" s="12"/>
      <c r="D455" s="13"/>
      <c r="E455" s="13" t="str">
        <f>IF($C455="","",IFERROR($D455*VLOOKUP($C455,Foods!$A:$E,3,FALSE),"Add to Foods"))</f>
        <v/>
      </c>
      <c r="F455" s="13" t="str">
        <f>IF($C455="","",IFERROR($D455*VLOOKUP($C455,Foods!$A:$E,4,FALSE),"Add to Foods"))</f>
        <v/>
      </c>
      <c r="G455" s="13" t="str">
        <f>IF($C455="","",IFERROR($D455*VLOOKUP($C455,Foods!$A:$E,5,FALSE),"Add to Foods"))</f>
        <v/>
      </c>
      <c r="H455" s="12"/>
      <c r="I455" s="12" t="str">
        <f>IF($C455="","",IF(COUNTIF(Foods!$A:$A,$C455)&gt;0,"Yes","No - add nickname"))</f>
        <v/>
      </c>
    </row>
    <row r="456" ht="15.75" customHeight="1">
      <c r="A456" s="17"/>
      <c r="B456" s="12"/>
      <c r="C456" s="12"/>
      <c r="D456" s="13"/>
      <c r="E456" s="13" t="str">
        <f>IF($C456="","",IFERROR($D456*VLOOKUP($C456,Foods!$A:$E,3,FALSE),"Add to Foods"))</f>
        <v/>
      </c>
      <c r="F456" s="13" t="str">
        <f>IF($C456="","",IFERROR($D456*VLOOKUP($C456,Foods!$A:$E,4,FALSE),"Add to Foods"))</f>
        <v/>
      </c>
      <c r="G456" s="13" t="str">
        <f>IF($C456="","",IFERROR($D456*VLOOKUP($C456,Foods!$A:$E,5,FALSE),"Add to Foods"))</f>
        <v/>
      </c>
      <c r="H456" s="12"/>
      <c r="I456" s="12" t="str">
        <f>IF($C456="","",IF(COUNTIF(Foods!$A:$A,$C456)&gt;0,"Yes","No - add nickname"))</f>
        <v/>
      </c>
    </row>
    <row r="457" ht="15.75" customHeight="1">
      <c r="A457" s="17"/>
      <c r="B457" s="12"/>
      <c r="C457" s="12"/>
      <c r="D457" s="13"/>
      <c r="E457" s="13" t="str">
        <f>IF($C457="","",IFERROR($D457*VLOOKUP($C457,Foods!$A:$E,3,FALSE),"Add to Foods"))</f>
        <v/>
      </c>
      <c r="F457" s="13" t="str">
        <f>IF($C457="","",IFERROR($D457*VLOOKUP($C457,Foods!$A:$E,4,FALSE),"Add to Foods"))</f>
        <v/>
      </c>
      <c r="G457" s="13" t="str">
        <f>IF($C457="","",IFERROR($D457*VLOOKUP($C457,Foods!$A:$E,5,FALSE),"Add to Foods"))</f>
        <v/>
      </c>
      <c r="H457" s="12"/>
      <c r="I457" s="12" t="str">
        <f>IF($C457="","",IF(COUNTIF(Foods!$A:$A,$C457)&gt;0,"Yes","No - add nickname"))</f>
        <v/>
      </c>
    </row>
    <row r="458" ht="15.75" customHeight="1">
      <c r="A458" s="17"/>
      <c r="B458" s="12"/>
      <c r="C458" s="12"/>
      <c r="D458" s="13"/>
      <c r="E458" s="13" t="str">
        <f>IF($C458="","",IFERROR($D458*VLOOKUP($C458,Foods!$A:$E,3,FALSE),"Add to Foods"))</f>
        <v/>
      </c>
      <c r="F458" s="13" t="str">
        <f>IF($C458="","",IFERROR($D458*VLOOKUP($C458,Foods!$A:$E,4,FALSE),"Add to Foods"))</f>
        <v/>
      </c>
      <c r="G458" s="13" t="str">
        <f>IF($C458="","",IFERROR($D458*VLOOKUP($C458,Foods!$A:$E,5,FALSE),"Add to Foods"))</f>
        <v/>
      </c>
      <c r="H458" s="12"/>
      <c r="I458" s="12" t="str">
        <f>IF($C458="","",IF(COUNTIF(Foods!$A:$A,$C458)&gt;0,"Yes","No - add nickname"))</f>
        <v/>
      </c>
    </row>
    <row r="459" ht="15.75" customHeight="1">
      <c r="A459" s="17"/>
      <c r="B459" s="12"/>
      <c r="C459" s="12"/>
      <c r="D459" s="13"/>
      <c r="E459" s="13" t="str">
        <f>IF($C459="","",IFERROR($D459*VLOOKUP($C459,Foods!$A:$E,3,FALSE),"Add to Foods"))</f>
        <v/>
      </c>
      <c r="F459" s="13" t="str">
        <f>IF($C459="","",IFERROR($D459*VLOOKUP($C459,Foods!$A:$E,4,FALSE),"Add to Foods"))</f>
        <v/>
      </c>
      <c r="G459" s="13" t="str">
        <f>IF($C459="","",IFERROR($D459*VLOOKUP($C459,Foods!$A:$E,5,FALSE),"Add to Foods"))</f>
        <v/>
      </c>
      <c r="H459" s="12"/>
      <c r="I459" s="12" t="str">
        <f>IF($C459="","",IF(COUNTIF(Foods!$A:$A,$C459)&gt;0,"Yes","No - add nickname"))</f>
        <v/>
      </c>
    </row>
    <row r="460" ht="15.75" customHeight="1">
      <c r="A460" s="17"/>
      <c r="B460" s="12"/>
      <c r="C460" s="12"/>
      <c r="D460" s="13"/>
      <c r="E460" s="13" t="str">
        <f>IF($C460="","",IFERROR($D460*VLOOKUP($C460,Foods!$A:$E,3,FALSE),"Add to Foods"))</f>
        <v/>
      </c>
      <c r="F460" s="13" t="str">
        <f>IF($C460="","",IFERROR($D460*VLOOKUP($C460,Foods!$A:$E,4,FALSE),"Add to Foods"))</f>
        <v/>
      </c>
      <c r="G460" s="13" t="str">
        <f>IF($C460="","",IFERROR($D460*VLOOKUP($C460,Foods!$A:$E,5,FALSE),"Add to Foods"))</f>
        <v/>
      </c>
      <c r="H460" s="12"/>
      <c r="I460" s="12" t="str">
        <f>IF($C460="","",IF(COUNTIF(Foods!$A:$A,$C460)&gt;0,"Yes","No - add nickname"))</f>
        <v/>
      </c>
    </row>
    <row r="461" ht="15.75" customHeight="1">
      <c r="A461" s="17"/>
      <c r="B461" s="12"/>
      <c r="C461" s="12"/>
      <c r="D461" s="13"/>
      <c r="E461" s="13" t="str">
        <f>IF($C461="","",IFERROR($D461*VLOOKUP($C461,Foods!$A:$E,3,FALSE),"Add to Foods"))</f>
        <v/>
      </c>
      <c r="F461" s="13" t="str">
        <f>IF($C461="","",IFERROR($D461*VLOOKUP($C461,Foods!$A:$E,4,FALSE),"Add to Foods"))</f>
        <v/>
      </c>
      <c r="G461" s="13" t="str">
        <f>IF($C461="","",IFERROR($D461*VLOOKUP($C461,Foods!$A:$E,5,FALSE),"Add to Foods"))</f>
        <v/>
      </c>
      <c r="H461" s="12"/>
      <c r="I461" s="12" t="str">
        <f>IF($C461="","",IF(COUNTIF(Foods!$A:$A,$C461)&gt;0,"Yes","No - add nickname"))</f>
        <v/>
      </c>
    </row>
    <row r="462" ht="15.75" customHeight="1">
      <c r="A462" s="17"/>
      <c r="B462" s="12"/>
      <c r="C462" s="12"/>
      <c r="D462" s="13"/>
      <c r="E462" s="13" t="str">
        <f>IF($C462="","",IFERROR($D462*VLOOKUP($C462,Foods!$A:$E,3,FALSE),"Add to Foods"))</f>
        <v/>
      </c>
      <c r="F462" s="13" t="str">
        <f>IF($C462="","",IFERROR($D462*VLOOKUP($C462,Foods!$A:$E,4,FALSE),"Add to Foods"))</f>
        <v/>
      </c>
      <c r="G462" s="13" t="str">
        <f>IF($C462="","",IFERROR($D462*VLOOKUP($C462,Foods!$A:$E,5,FALSE),"Add to Foods"))</f>
        <v/>
      </c>
      <c r="H462" s="12"/>
      <c r="I462" s="12" t="str">
        <f>IF($C462="","",IF(COUNTIF(Foods!$A:$A,$C462)&gt;0,"Yes","No - add nickname"))</f>
        <v/>
      </c>
    </row>
    <row r="463" ht="15.75" customHeight="1">
      <c r="A463" s="17"/>
      <c r="B463" s="12"/>
      <c r="C463" s="12"/>
      <c r="D463" s="13"/>
      <c r="E463" s="13" t="str">
        <f>IF($C463="","",IFERROR($D463*VLOOKUP($C463,Foods!$A:$E,3,FALSE),"Add to Foods"))</f>
        <v/>
      </c>
      <c r="F463" s="13" t="str">
        <f>IF($C463="","",IFERROR($D463*VLOOKUP($C463,Foods!$A:$E,4,FALSE),"Add to Foods"))</f>
        <v/>
      </c>
      <c r="G463" s="13" t="str">
        <f>IF($C463="","",IFERROR($D463*VLOOKUP($C463,Foods!$A:$E,5,FALSE),"Add to Foods"))</f>
        <v/>
      </c>
      <c r="H463" s="12"/>
      <c r="I463" s="12" t="str">
        <f>IF($C463="","",IF(COUNTIF(Foods!$A:$A,$C463)&gt;0,"Yes","No - add nickname"))</f>
        <v/>
      </c>
    </row>
    <row r="464" ht="15.75" customHeight="1">
      <c r="A464" s="17"/>
      <c r="B464" s="12"/>
      <c r="C464" s="12"/>
      <c r="D464" s="13"/>
      <c r="E464" s="13" t="str">
        <f>IF($C464="","",IFERROR($D464*VLOOKUP($C464,Foods!$A:$E,3,FALSE),"Add to Foods"))</f>
        <v/>
      </c>
      <c r="F464" s="13" t="str">
        <f>IF($C464="","",IFERROR($D464*VLOOKUP($C464,Foods!$A:$E,4,FALSE),"Add to Foods"))</f>
        <v/>
      </c>
      <c r="G464" s="13" t="str">
        <f>IF($C464="","",IFERROR($D464*VLOOKUP($C464,Foods!$A:$E,5,FALSE),"Add to Foods"))</f>
        <v/>
      </c>
      <c r="H464" s="12"/>
      <c r="I464" s="12" t="str">
        <f>IF($C464="","",IF(COUNTIF(Foods!$A:$A,$C464)&gt;0,"Yes","No - add nickname"))</f>
        <v/>
      </c>
    </row>
    <row r="465" ht="15.75" customHeight="1">
      <c r="A465" s="17"/>
      <c r="B465" s="12"/>
      <c r="C465" s="12"/>
      <c r="D465" s="13"/>
      <c r="E465" s="13" t="str">
        <f>IF($C465="","",IFERROR($D465*VLOOKUP($C465,Foods!$A:$E,3,FALSE),"Add to Foods"))</f>
        <v/>
      </c>
      <c r="F465" s="13" t="str">
        <f>IF($C465="","",IFERROR($D465*VLOOKUP($C465,Foods!$A:$E,4,FALSE),"Add to Foods"))</f>
        <v/>
      </c>
      <c r="G465" s="13" t="str">
        <f>IF($C465="","",IFERROR($D465*VLOOKUP($C465,Foods!$A:$E,5,FALSE),"Add to Foods"))</f>
        <v/>
      </c>
      <c r="H465" s="12"/>
      <c r="I465" s="12" t="str">
        <f>IF($C465="","",IF(COUNTIF(Foods!$A:$A,$C465)&gt;0,"Yes","No - add nickname"))</f>
        <v/>
      </c>
    </row>
    <row r="466" ht="15.75" customHeight="1">
      <c r="A466" s="17"/>
      <c r="B466" s="12"/>
      <c r="C466" s="12"/>
      <c r="D466" s="13"/>
      <c r="E466" s="13" t="str">
        <f>IF($C466="","",IFERROR($D466*VLOOKUP($C466,Foods!$A:$E,3,FALSE),"Add to Foods"))</f>
        <v/>
      </c>
      <c r="F466" s="13" t="str">
        <f>IF($C466="","",IFERROR($D466*VLOOKUP($C466,Foods!$A:$E,4,FALSE),"Add to Foods"))</f>
        <v/>
      </c>
      <c r="G466" s="13" t="str">
        <f>IF($C466="","",IFERROR($D466*VLOOKUP($C466,Foods!$A:$E,5,FALSE),"Add to Foods"))</f>
        <v/>
      </c>
      <c r="H466" s="12"/>
      <c r="I466" s="12" t="str">
        <f>IF($C466="","",IF(COUNTIF(Foods!$A:$A,$C466)&gt;0,"Yes","No - add nickname"))</f>
        <v/>
      </c>
    </row>
    <row r="467" ht="15.75" customHeight="1">
      <c r="A467" s="17"/>
      <c r="B467" s="12"/>
      <c r="C467" s="12"/>
      <c r="D467" s="13"/>
      <c r="E467" s="13" t="str">
        <f>IF($C467="","",IFERROR($D467*VLOOKUP($C467,Foods!$A:$E,3,FALSE),"Add to Foods"))</f>
        <v/>
      </c>
      <c r="F467" s="13" t="str">
        <f>IF($C467="","",IFERROR($D467*VLOOKUP($C467,Foods!$A:$E,4,FALSE),"Add to Foods"))</f>
        <v/>
      </c>
      <c r="G467" s="13" t="str">
        <f>IF($C467="","",IFERROR($D467*VLOOKUP($C467,Foods!$A:$E,5,FALSE),"Add to Foods"))</f>
        <v/>
      </c>
      <c r="H467" s="12"/>
      <c r="I467" s="12" t="str">
        <f>IF($C467="","",IF(COUNTIF(Foods!$A:$A,$C467)&gt;0,"Yes","No - add nickname"))</f>
        <v/>
      </c>
    </row>
    <row r="468" ht="15.75" customHeight="1">
      <c r="A468" s="17"/>
      <c r="B468" s="12"/>
      <c r="C468" s="12"/>
      <c r="D468" s="13"/>
      <c r="E468" s="13" t="str">
        <f>IF($C468="","",IFERROR($D468*VLOOKUP($C468,Foods!$A:$E,3,FALSE),"Add to Foods"))</f>
        <v/>
      </c>
      <c r="F468" s="13" t="str">
        <f>IF($C468="","",IFERROR($D468*VLOOKUP($C468,Foods!$A:$E,4,FALSE),"Add to Foods"))</f>
        <v/>
      </c>
      <c r="G468" s="13" t="str">
        <f>IF($C468="","",IFERROR($D468*VLOOKUP($C468,Foods!$A:$E,5,FALSE),"Add to Foods"))</f>
        <v/>
      </c>
      <c r="H468" s="12"/>
      <c r="I468" s="12" t="str">
        <f>IF($C468="","",IF(COUNTIF(Foods!$A:$A,$C468)&gt;0,"Yes","No - add nickname"))</f>
        <v/>
      </c>
    </row>
    <row r="469" ht="15.75" customHeight="1">
      <c r="A469" s="17"/>
      <c r="B469" s="12"/>
      <c r="C469" s="12"/>
      <c r="D469" s="13"/>
      <c r="E469" s="13" t="str">
        <f>IF($C469="","",IFERROR($D469*VLOOKUP($C469,Foods!$A:$E,3,FALSE),"Add to Foods"))</f>
        <v/>
      </c>
      <c r="F469" s="13" t="str">
        <f>IF($C469="","",IFERROR($D469*VLOOKUP($C469,Foods!$A:$E,4,FALSE),"Add to Foods"))</f>
        <v/>
      </c>
      <c r="G469" s="13" t="str">
        <f>IF($C469="","",IFERROR($D469*VLOOKUP($C469,Foods!$A:$E,5,FALSE),"Add to Foods"))</f>
        <v/>
      </c>
      <c r="H469" s="12"/>
      <c r="I469" s="12" t="str">
        <f>IF($C469="","",IF(COUNTIF(Foods!$A:$A,$C469)&gt;0,"Yes","No - add nickname"))</f>
        <v/>
      </c>
    </row>
    <row r="470" ht="15.75" customHeight="1">
      <c r="A470" s="17"/>
      <c r="B470" s="12"/>
      <c r="C470" s="12"/>
      <c r="D470" s="13"/>
      <c r="E470" s="13" t="str">
        <f>IF($C470="","",IFERROR($D470*VLOOKUP($C470,Foods!$A:$E,3,FALSE),"Add to Foods"))</f>
        <v/>
      </c>
      <c r="F470" s="13" t="str">
        <f>IF($C470="","",IFERROR($D470*VLOOKUP($C470,Foods!$A:$E,4,FALSE),"Add to Foods"))</f>
        <v/>
      </c>
      <c r="G470" s="13" t="str">
        <f>IF($C470="","",IFERROR($D470*VLOOKUP($C470,Foods!$A:$E,5,FALSE),"Add to Foods"))</f>
        <v/>
      </c>
      <c r="H470" s="12"/>
      <c r="I470" s="12" t="str">
        <f>IF($C470="","",IF(COUNTIF(Foods!$A:$A,$C470)&gt;0,"Yes","No - add nickname"))</f>
        <v/>
      </c>
    </row>
    <row r="471" ht="15.75" customHeight="1">
      <c r="A471" s="17"/>
      <c r="B471" s="12"/>
      <c r="C471" s="12"/>
      <c r="D471" s="13"/>
      <c r="E471" s="13" t="str">
        <f>IF($C471="","",IFERROR($D471*VLOOKUP($C471,Foods!$A:$E,3,FALSE),"Add to Foods"))</f>
        <v/>
      </c>
      <c r="F471" s="13" t="str">
        <f>IF($C471="","",IFERROR($D471*VLOOKUP($C471,Foods!$A:$E,4,FALSE),"Add to Foods"))</f>
        <v/>
      </c>
      <c r="G471" s="13" t="str">
        <f>IF($C471="","",IFERROR($D471*VLOOKUP($C471,Foods!$A:$E,5,FALSE),"Add to Foods"))</f>
        <v/>
      </c>
      <c r="H471" s="12"/>
      <c r="I471" s="12" t="str">
        <f>IF($C471="","",IF(COUNTIF(Foods!$A:$A,$C471)&gt;0,"Yes","No - add nickname"))</f>
        <v/>
      </c>
    </row>
    <row r="472" ht="15.75" customHeight="1">
      <c r="A472" s="17"/>
      <c r="B472" s="12"/>
      <c r="C472" s="12"/>
      <c r="D472" s="13"/>
      <c r="E472" s="13" t="str">
        <f>IF($C472="","",IFERROR($D472*VLOOKUP($C472,Foods!$A:$E,3,FALSE),"Add to Foods"))</f>
        <v/>
      </c>
      <c r="F472" s="13" t="str">
        <f>IF($C472="","",IFERROR($D472*VLOOKUP($C472,Foods!$A:$E,4,FALSE),"Add to Foods"))</f>
        <v/>
      </c>
      <c r="G472" s="13" t="str">
        <f>IF($C472="","",IFERROR($D472*VLOOKUP($C472,Foods!$A:$E,5,FALSE),"Add to Foods"))</f>
        <v/>
      </c>
      <c r="H472" s="12"/>
      <c r="I472" s="12" t="str">
        <f>IF($C472="","",IF(COUNTIF(Foods!$A:$A,$C472)&gt;0,"Yes","No - add nickname"))</f>
        <v/>
      </c>
    </row>
    <row r="473" ht="15.75" customHeight="1">
      <c r="A473" s="17"/>
      <c r="B473" s="12"/>
      <c r="C473" s="12"/>
      <c r="D473" s="13"/>
      <c r="E473" s="13" t="str">
        <f>IF($C473="","",IFERROR($D473*VLOOKUP($C473,Foods!$A:$E,3,FALSE),"Add to Foods"))</f>
        <v/>
      </c>
      <c r="F473" s="13" t="str">
        <f>IF($C473="","",IFERROR($D473*VLOOKUP($C473,Foods!$A:$E,4,FALSE),"Add to Foods"))</f>
        <v/>
      </c>
      <c r="G473" s="13" t="str">
        <f>IF($C473="","",IFERROR($D473*VLOOKUP($C473,Foods!$A:$E,5,FALSE),"Add to Foods"))</f>
        <v/>
      </c>
      <c r="H473" s="12"/>
      <c r="I473" s="12" t="str">
        <f>IF($C473="","",IF(COUNTIF(Foods!$A:$A,$C473)&gt;0,"Yes","No - add nickname"))</f>
        <v/>
      </c>
    </row>
    <row r="474" ht="15.75" customHeight="1">
      <c r="A474" s="17"/>
      <c r="B474" s="12"/>
      <c r="C474" s="12"/>
      <c r="D474" s="13"/>
      <c r="E474" s="13" t="str">
        <f>IF($C474="","",IFERROR($D474*VLOOKUP($C474,Foods!$A:$E,3,FALSE),"Add to Foods"))</f>
        <v/>
      </c>
      <c r="F474" s="13" t="str">
        <f>IF($C474="","",IFERROR($D474*VLOOKUP($C474,Foods!$A:$E,4,FALSE),"Add to Foods"))</f>
        <v/>
      </c>
      <c r="G474" s="13" t="str">
        <f>IF($C474="","",IFERROR($D474*VLOOKUP($C474,Foods!$A:$E,5,FALSE),"Add to Foods"))</f>
        <v/>
      </c>
      <c r="H474" s="12"/>
      <c r="I474" s="12" t="str">
        <f>IF($C474="","",IF(COUNTIF(Foods!$A:$A,$C474)&gt;0,"Yes","No - add nickname"))</f>
        <v/>
      </c>
    </row>
    <row r="475" ht="15.75" customHeight="1">
      <c r="A475" s="17"/>
      <c r="B475" s="12"/>
      <c r="C475" s="12"/>
      <c r="D475" s="13"/>
      <c r="E475" s="13" t="str">
        <f>IF($C475="","",IFERROR($D475*VLOOKUP($C475,Foods!$A:$E,3,FALSE),"Add to Foods"))</f>
        <v/>
      </c>
      <c r="F475" s="13" t="str">
        <f>IF($C475="","",IFERROR($D475*VLOOKUP($C475,Foods!$A:$E,4,FALSE),"Add to Foods"))</f>
        <v/>
      </c>
      <c r="G475" s="13" t="str">
        <f>IF($C475="","",IFERROR($D475*VLOOKUP($C475,Foods!$A:$E,5,FALSE),"Add to Foods"))</f>
        <v/>
      </c>
      <c r="H475" s="12"/>
      <c r="I475" s="12" t="str">
        <f>IF($C475="","",IF(COUNTIF(Foods!$A:$A,$C475)&gt;0,"Yes","No - add nickname"))</f>
        <v/>
      </c>
    </row>
    <row r="476" ht="15.75" customHeight="1">
      <c r="A476" s="17"/>
      <c r="B476" s="12"/>
      <c r="C476" s="12"/>
      <c r="D476" s="13"/>
      <c r="E476" s="13" t="str">
        <f>IF($C476="","",IFERROR($D476*VLOOKUP($C476,Foods!$A:$E,3,FALSE),"Add to Foods"))</f>
        <v/>
      </c>
      <c r="F476" s="13" t="str">
        <f>IF($C476="","",IFERROR($D476*VLOOKUP($C476,Foods!$A:$E,4,FALSE),"Add to Foods"))</f>
        <v/>
      </c>
      <c r="G476" s="13" t="str">
        <f>IF($C476="","",IFERROR($D476*VLOOKUP($C476,Foods!$A:$E,5,FALSE),"Add to Foods"))</f>
        <v/>
      </c>
      <c r="H476" s="12"/>
      <c r="I476" s="12" t="str">
        <f>IF($C476="","",IF(COUNTIF(Foods!$A:$A,$C476)&gt;0,"Yes","No - add nickname"))</f>
        <v/>
      </c>
    </row>
    <row r="477" ht="15.75" customHeight="1">
      <c r="A477" s="17"/>
      <c r="B477" s="12"/>
      <c r="C477" s="12"/>
      <c r="D477" s="13"/>
      <c r="E477" s="13" t="str">
        <f>IF($C477="","",IFERROR($D477*VLOOKUP($C477,Foods!$A:$E,3,FALSE),"Add to Foods"))</f>
        <v/>
      </c>
      <c r="F477" s="13" t="str">
        <f>IF($C477="","",IFERROR($D477*VLOOKUP($C477,Foods!$A:$E,4,FALSE),"Add to Foods"))</f>
        <v/>
      </c>
      <c r="G477" s="13" t="str">
        <f>IF($C477="","",IFERROR($D477*VLOOKUP($C477,Foods!$A:$E,5,FALSE),"Add to Foods"))</f>
        <v/>
      </c>
      <c r="H477" s="12"/>
      <c r="I477" s="12" t="str">
        <f>IF($C477="","",IF(COUNTIF(Foods!$A:$A,$C477)&gt;0,"Yes","No - add nickname"))</f>
        <v/>
      </c>
    </row>
    <row r="478" ht="15.75" customHeight="1">
      <c r="A478" s="17"/>
      <c r="B478" s="12"/>
      <c r="C478" s="12"/>
      <c r="D478" s="13"/>
      <c r="E478" s="13" t="str">
        <f>IF($C478="","",IFERROR($D478*VLOOKUP($C478,Foods!$A:$E,3,FALSE),"Add to Foods"))</f>
        <v/>
      </c>
      <c r="F478" s="13" t="str">
        <f>IF($C478="","",IFERROR($D478*VLOOKUP($C478,Foods!$A:$E,4,FALSE),"Add to Foods"))</f>
        <v/>
      </c>
      <c r="G478" s="13" t="str">
        <f>IF($C478="","",IFERROR($D478*VLOOKUP($C478,Foods!$A:$E,5,FALSE),"Add to Foods"))</f>
        <v/>
      </c>
      <c r="H478" s="12"/>
      <c r="I478" s="12" t="str">
        <f>IF($C478="","",IF(COUNTIF(Foods!$A:$A,$C478)&gt;0,"Yes","No - add nickname"))</f>
        <v/>
      </c>
    </row>
    <row r="479" ht="15.75" customHeight="1">
      <c r="A479" s="17"/>
      <c r="B479" s="12"/>
      <c r="C479" s="12"/>
      <c r="D479" s="13"/>
      <c r="E479" s="13" t="str">
        <f>IF($C479="","",IFERROR($D479*VLOOKUP($C479,Foods!$A:$E,3,FALSE),"Add to Foods"))</f>
        <v/>
      </c>
      <c r="F479" s="13" t="str">
        <f>IF($C479="","",IFERROR($D479*VLOOKUP($C479,Foods!$A:$E,4,FALSE),"Add to Foods"))</f>
        <v/>
      </c>
      <c r="G479" s="13" t="str">
        <f>IF($C479="","",IFERROR($D479*VLOOKUP($C479,Foods!$A:$E,5,FALSE),"Add to Foods"))</f>
        <v/>
      </c>
      <c r="H479" s="12"/>
      <c r="I479" s="12" t="str">
        <f>IF($C479="","",IF(COUNTIF(Foods!$A:$A,$C479)&gt;0,"Yes","No - add nickname"))</f>
        <v/>
      </c>
    </row>
    <row r="480" ht="15.75" customHeight="1">
      <c r="A480" s="17"/>
      <c r="B480" s="12"/>
      <c r="C480" s="12"/>
      <c r="D480" s="13"/>
      <c r="E480" s="13" t="str">
        <f>IF($C480="","",IFERROR($D480*VLOOKUP($C480,Foods!$A:$E,3,FALSE),"Add to Foods"))</f>
        <v/>
      </c>
      <c r="F480" s="13" t="str">
        <f>IF($C480="","",IFERROR($D480*VLOOKUP($C480,Foods!$A:$E,4,FALSE),"Add to Foods"))</f>
        <v/>
      </c>
      <c r="G480" s="13" t="str">
        <f>IF($C480="","",IFERROR($D480*VLOOKUP($C480,Foods!$A:$E,5,FALSE),"Add to Foods"))</f>
        <v/>
      </c>
      <c r="H480" s="12"/>
      <c r="I480" s="12" t="str">
        <f>IF($C480="","",IF(COUNTIF(Foods!$A:$A,$C480)&gt;0,"Yes","No - add nickname"))</f>
        <v/>
      </c>
    </row>
    <row r="481" ht="15.75" customHeight="1">
      <c r="A481" s="17"/>
      <c r="B481" s="12"/>
      <c r="C481" s="12"/>
      <c r="D481" s="13"/>
      <c r="E481" s="13" t="str">
        <f>IF($C481="","",IFERROR($D481*VLOOKUP($C481,Foods!$A:$E,3,FALSE),"Add to Foods"))</f>
        <v/>
      </c>
      <c r="F481" s="13" t="str">
        <f>IF($C481="","",IFERROR($D481*VLOOKUP($C481,Foods!$A:$E,4,FALSE),"Add to Foods"))</f>
        <v/>
      </c>
      <c r="G481" s="13" t="str">
        <f>IF($C481="","",IFERROR($D481*VLOOKUP($C481,Foods!$A:$E,5,FALSE),"Add to Foods"))</f>
        <v/>
      </c>
      <c r="H481" s="12"/>
      <c r="I481" s="12" t="str">
        <f>IF($C481="","",IF(COUNTIF(Foods!$A:$A,$C481)&gt;0,"Yes","No - add nickname"))</f>
        <v/>
      </c>
    </row>
    <row r="482" ht="15.75" customHeight="1">
      <c r="A482" s="17"/>
      <c r="B482" s="12"/>
      <c r="C482" s="12"/>
      <c r="D482" s="13"/>
      <c r="E482" s="13" t="str">
        <f>IF($C482="","",IFERROR($D482*VLOOKUP($C482,Foods!$A:$E,3,FALSE),"Add to Foods"))</f>
        <v/>
      </c>
      <c r="F482" s="13" t="str">
        <f>IF($C482="","",IFERROR($D482*VLOOKUP($C482,Foods!$A:$E,4,FALSE),"Add to Foods"))</f>
        <v/>
      </c>
      <c r="G482" s="13" t="str">
        <f>IF($C482="","",IFERROR($D482*VLOOKUP($C482,Foods!$A:$E,5,FALSE),"Add to Foods"))</f>
        <v/>
      </c>
      <c r="H482" s="12"/>
      <c r="I482" s="12" t="str">
        <f>IF($C482="","",IF(COUNTIF(Foods!$A:$A,$C482)&gt;0,"Yes","No - add nickname"))</f>
        <v/>
      </c>
    </row>
    <row r="483" ht="15.75" customHeight="1">
      <c r="A483" s="17"/>
      <c r="B483" s="12"/>
      <c r="C483" s="12"/>
      <c r="D483" s="13"/>
      <c r="E483" s="13" t="str">
        <f>IF($C483="","",IFERROR($D483*VLOOKUP($C483,Foods!$A:$E,3,FALSE),"Add to Foods"))</f>
        <v/>
      </c>
      <c r="F483" s="13" t="str">
        <f>IF($C483="","",IFERROR($D483*VLOOKUP($C483,Foods!$A:$E,4,FALSE),"Add to Foods"))</f>
        <v/>
      </c>
      <c r="G483" s="13" t="str">
        <f>IF($C483="","",IFERROR($D483*VLOOKUP($C483,Foods!$A:$E,5,FALSE),"Add to Foods"))</f>
        <v/>
      </c>
      <c r="H483" s="12"/>
      <c r="I483" s="12" t="str">
        <f>IF($C483="","",IF(COUNTIF(Foods!$A:$A,$C483)&gt;0,"Yes","No - add nickname"))</f>
        <v/>
      </c>
    </row>
    <row r="484" ht="15.75" customHeight="1">
      <c r="A484" s="17"/>
      <c r="B484" s="12"/>
      <c r="C484" s="12"/>
      <c r="D484" s="13"/>
      <c r="E484" s="13" t="str">
        <f>IF($C484="","",IFERROR($D484*VLOOKUP($C484,Foods!$A:$E,3,FALSE),"Add to Foods"))</f>
        <v/>
      </c>
      <c r="F484" s="13" t="str">
        <f>IF($C484="","",IFERROR($D484*VLOOKUP($C484,Foods!$A:$E,4,FALSE),"Add to Foods"))</f>
        <v/>
      </c>
      <c r="G484" s="13" t="str">
        <f>IF($C484="","",IFERROR($D484*VLOOKUP($C484,Foods!$A:$E,5,FALSE),"Add to Foods"))</f>
        <v/>
      </c>
      <c r="H484" s="12"/>
      <c r="I484" s="12" t="str">
        <f>IF($C484="","",IF(COUNTIF(Foods!$A:$A,$C484)&gt;0,"Yes","No - add nickname"))</f>
        <v/>
      </c>
    </row>
    <row r="485" ht="15.75" customHeight="1">
      <c r="A485" s="17"/>
      <c r="B485" s="12"/>
      <c r="C485" s="12"/>
      <c r="D485" s="13"/>
      <c r="E485" s="13" t="str">
        <f>IF($C485="","",IFERROR($D485*VLOOKUP($C485,Foods!$A:$E,3,FALSE),"Add to Foods"))</f>
        <v/>
      </c>
      <c r="F485" s="13" t="str">
        <f>IF($C485="","",IFERROR($D485*VLOOKUP($C485,Foods!$A:$E,4,FALSE),"Add to Foods"))</f>
        <v/>
      </c>
      <c r="G485" s="13" t="str">
        <f>IF($C485="","",IFERROR($D485*VLOOKUP($C485,Foods!$A:$E,5,FALSE),"Add to Foods"))</f>
        <v/>
      </c>
      <c r="H485" s="12"/>
      <c r="I485" s="12" t="str">
        <f>IF($C485="","",IF(COUNTIF(Foods!$A:$A,$C485)&gt;0,"Yes","No - add nickname"))</f>
        <v/>
      </c>
    </row>
    <row r="486" ht="15.75" customHeight="1">
      <c r="A486" s="17"/>
      <c r="B486" s="12"/>
      <c r="C486" s="12"/>
      <c r="D486" s="13"/>
      <c r="E486" s="13" t="str">
        <f>IF($C486="","",IFERROR($D486*VLOOKUP($C486,Foods!$A:$E,3,FALSE),"Add to Foods"))</f>
        <v/>
      </c>
      <c r="F486" s="13" t="str">
        <f>IF($C486="","",IFERROR($D486*VLOOKUP($C486,Foods!$A:$E,4,FALSE),"Add to Foods"))</f>
        <v/>
      </c>
      <c r="G486" s="13" t="str">
        <f>IF($C486="","",IFERROR($D486*VLOOKUP($C486,Foods!$A:$E,5,FALSE),"Add to Foods"))</f>
        <v/>
      </c>
      <c r="H486" s="12"/>
      <c r="I486" s="12" t="str">
        <f>IF($C486="","",IF(COUNTIF(Foods!$A:$A,$C486)&gt;0,"Yes","No - add nickname"))</f>
        <v/>
      </c>
    </row>
    <row r="487" ht="15.75" customHeight="1">
      <c r="A487" s="17"/>
      <c r="B487" s="12"/>
      <c r="C487" s="12"/>
      <c r="D487" s="13"/>
      <c r="E487" s="13" t="str">
        <f>IF($C487="","",IFERROR($D487*VLOOKUP($C487,Foods!$A:$E,3,FALSE),"Add to Foods"))</f>
        <v/>
      </c>
      <c r="F487" s="13" t="str">
        <f>IF($C487="","",IFERROR($D487*VLOOKUP($C487,Foods!$A:$E,4,FALSE),"Add to Foods"))</f>
        <v/>
      </c>
      <c r="G487" s="13" t="str">
        <f>IF($C487="","",IFERROR($D487*VLOOKUP($C487,Foods!$A:$E,5,FALSE),"Add to Foods"))</f>
        <v/>
      </c>
      <c r="H487" s="12"/>
      <c r="I487" s="12" t="str">
        <f>IF($C487="","",IF(COUNTIF(Foods!$A:$A,$C487)&gt;0,"Yes","No - add nickname"))</f>
        <v/>
      </c>
    </row>
    <row r="488" ht="15.75" customHeight="1">
      <c r="A488" s="17"/>
      <c r="B488" s="12"/>
      <c r="C488" s="12"/>
      <c r="D488" s="13"/>
      <c r="E488" s="13" t="str">
        <f>IF($C488="","",IFERROR($D488*VLOOKUP($C488,Foods!$A:$E,3,FALSE),"Add to Foods"))</f>
        <v/>
      </c>
      <c r="F488" s="13" t="str">
        <f>IF($C488="","",IFERROR($D488*VLOOKUP($C488,Foods!$A:$E,4,FALSE),"Add to Foods"))</f>
        <v/>
      </c>
      <c r="G488" s="13" t="str">
        <f>IF($C488="","",IFERROR($D488*VLOOKUP($C488,Foods!$A:$E,5,FALSE),"Add to Foods"))</f>
        <v/>
      </c>
      <c r="H488" s="12"/>
      <c r="I488" s="12" t="str">
        <f>IF($C488="","",IF(COUNTIF(Foods!$A:$A,$C488)&gt;0,"Yes","No - add nickname"))</f>
        <v/>
      </c>
    </row>
    <row r="489" ht="15.75" customHeight="1">
      <c r="A489" s="17"/>
      <c r="B489" s="12"/>
      <c r="C489" s="12"/>
      <c r="D489" s="13"/>
      <c r="E489" s="13" t="str">
        <f>IF($C489="","",IFERROR($D489*VLOOKUP($C489,Foods!$A:$E,3,FALSE),"Add to Foods"))</f>
        <v/>
      </c>
      <c r="F489" s="13" t="str">
        <f>IF($C489="","",IFERROR($D489*VLOOKUP($C489,Foods!$A:$E,4,FALSE),"Add to Foods"))</f>
        <v/>
      </c>
      <c r="G489" s="13" t="str">
        <f>IF($C489="","",IFERROR($D489*VLOOKUP($C489,Foods!$A:$E,5,FALSE),"Add to Foods"))</f>
        <v/>
      </c>
      <c r="H489" s="12"/>
      <c r="I489" s="12" t="str">
        <f>IF($C489="","",IF(COUNTIF(Foods!$A:$A,$C489)&gt;0,"Yes","No - add nickname"))</f>
        <v/>
      </c>
    </row>
    <row r="490" ht="15.75" customHeight="1">
      <c r="A490" s="17"/>
      <c r="B490" s="12"/>
      <c r="C490" s="12"/>
      <c r="D490" s="13"/>
      <c r="E490" s="13" t="str">
        <f>IF($C490="","",IFERROR($D490*VLOOKUP($C490,Foods!$A:$E,3,FALSE),"Add to Foods"))</f>
        <v/>
      </c>
      <c r="F490" s="13" t="str">
        <f>IF($C490="","",IFERROR($D490*VLOOKUP($C490,Foods!$A:$E,4,FALSE),"Add to Foods"))</f>
        <v/>
      </c>
      <c r="G490" s="13" t="str">
        <f>IF($C490="","",IFERROR($D490*VLOOKUP($C490,Foods!$A:$E,5,FALSE),"Add to Foods"))</f>
        <v/>
      </c>
      <c r="H490" s="12"/>
      <c r="I490" s="12" t="str">
        <f>IF($C490="","",IF(COUNTIF(Foods!$A:$A,$C490)&gt;0,"Yes","No - add nickname"))</f>
        <v/>
      </c>
    </row>
    <row r="491" ht="15.75" customHeight="1">
      <c r="A491" s="17"/>
      <c r="B491" s="12"/>
      <c r="C491" s="12"/>
      <c r="D491" s="13"/>
      <c r="E491" s="13" t="str">
        <f>IF($C491="","",IFERROR($D491*VLOOKUP($C491,Foods!$A:$E,3,FALSE),"Add to Foods"))</f>
        <v/>
      </c>
      <c r="F491" s="13" t="str">
        <f>IF($C491="","",IFERROR($D491*VLOOKUP($C491,Foods!$A:$E,4,FALSE),"Add to Foods"))</f>
        <v/>
      </c>
      <c r="G491" s="13" t="str">
        <f>IF($C491="","",IFERROR($D491*VLOOKUP($C491,Foods!$A:$E,5,FALSE),"Add to Foods"))</f>
        <v/>
      </c>
      <c r="H491" s="12"/>
      <c r="I491" s="12" t="str">
        <f>IF($C491="","",IF(COUNTIF(Foods!$A:$A,$C491)&gt;0,"Yes","No - add nickname"))</f>
        <v/>
      </c>
    </row>
    <row r="492" ht="15.75" customHeight="1">
      <c r="A492" s="17"/>
      <c r="B492" s="12"/>
      <c r="C492" s="12"/>
      <c r="D492" s="13"/>
      <c r="E492" s="13" t="str">
        <f>IF($C492="","",IFERROR($D492*VLOOKUP($C492,Foods!$A:$E,3,FALSE),"Add to Foods"))</f>
        <v/>
      </c>
      <c r="F492" s="13" t="str">
        <f>IF($C492="","",IFERROR($D492*VLOOKUP($C492,Foods!$A:$E,4,FALSE),"Add to Foods"))</f>
        <v/>
      </c>
      <c r="G492" s="13" t="str">
        <f>IF($C492="","",IFERROR($D492*VLOOKUP($C492,Foods!$A:$E,5,FALSE),"Add to Foods"))</f>
        <v/>
      </c>
      <c r="H492" s="12"/>
      <c r="I492" s="12" t="str">
        <f>IF($C492="","",IF(COUNTIF(Foods!$A:$A,$C492)&gt;0,"Yes","No - add nickname"))</f>
        <v/>
      </c>
    </row>
    <row r="493" ht="15.75" customHeight="1">
      <c r="A493" s="17"/>
      <c r="B493" s="12"/>
      <c r="C493" s="12"/>
      <c r="D493" s="13"/>
      <c r="E493" s="13" t="str">
        <f>IF($C493="","",IFERROR($D493*VLOOKUP($C493,Foods!$A:$E,3,FALSE),"Add to Foods"))</f>
        <v/>
      </c>
      <c r="F493" s="13" t="str">
        <f>IF($C493="","",IFERROR($D493*VLOOKUP($C493,Foods!$A:$E,4,FALSE),"Add to Foods"))</f>
        <v/>
      </c>
      <c r="G493" s="13" t="str">
        <f>IF($C493="","",IFERROR($D493*VLOOKUP($C493,Foods!$A:$E,5,FALSE),"Add to Foods"))</f>
        <v/>
      </c>
      <c r="H493" s="12"/>
      <c r="I493" s="12" t="str">
        <f>IF($C493="","",IF(COUNTIF(Foods!$A:$A,$C493)&gt;0,"Yes","No - add nickname"))</f>
        <v/>
      </c>
    </row>
    <row r="494" ht="15.75" customHeight="1">
      <c r="A494" s="17"/>
      <c r="B494" s="12"/>
      <c r="C494" s="12"/>
      <c r="D494" s="13"/>
      <c r="E494" s="13" t="str">
        <f>IF($C494="","",IFERROR($D494*VLOOKUP($C494,Foods!$A:$E,3,FALSE),"Add to Foods"))</f>
        <v/>
      </c>
      <c r="F494" s="13" t="str">
        <f>IF($C494="","",IFERROR($D494*VLOOKUP($C494,Foods!$A:$E,4,FALSE),"Add to Foods"))</f>
        <v/>
      </c>
      <c r="G494" s="13" t="str">
        <f>IF($C494="","",IFERROR($D494*VLOOKUP($C494,Foods!$A:$E,5,FALSE),"Add to Foods"))</f>
        <v/>
      </c>
      <c r="H494" s="12"/>
      <c r="I494" s="12" t="str">
        <f>IF($C494="","",IF(COUNTIF(Foods!$A:$A,$C494)&gt;0,"Yes","No - add nickname"))</f>
        <v/>
      </c>
    </row>
    <row r="495" ht="15.75" customHeight="1">
      <c r="A495" s="17"/>
      <c r="B495" s="12"/>
      <c r="C495" s="12"/>
      <c r="D495" s="13"/>
      <c r="E495" s="13" t="str">
        <f>IF($C495="","",IFERROR($D495*VLOOKUP($C495,Foods!$A:$E,3,FALSE),"Add to Foods"))</f>
        <v/>
      </c>
      <c r="F495" s="13" t="str">
        <f>IF($C495="","",IFERROR($D495*VLOOKUP($C495,Foods!$A:$E,4,FALSE),"Add to Foods"))</f>
        <v/>
      </c>
      <c r="G495" s="13" t="str">
        <f>IF($C495="","",IFERROR($D495*VLOOKUP($C495,Foods!$A:$E,5,FALSE),"Add to Foods"))</f>
        <v/>
      </c>
      <c r="H495" s="12"/>
      <c r="I495" s="12" t="str">
        <f>IF($C495="","",IF(COUNTIF(Foods!$A:$A,$C495)&gt;0,"Yes","No - add nickname"))</f>
        <v/>
      </c>
    </row>
    <row r="496" ht="15.75" customHeight="1">
      <c r="A496" s="17"/>
      <c r="B496" s="12"/>
      <c r="C496" s="12"/>
      <c r="D496" s="13"/>
      <c r="E496" s="13" t="str">
        <f>IF($C496="","",IFERROR($D496*VLOOKUP($C496,Foods!$A:$E,3,FALSE),"Add to Foods"))</f>
        <v/>
      </c>
      <c r="F496" s="13" t="str">
        <f>IF($C496="","",IFERROR($D496*VLOOKUP($C496,Foods!$A:$E,4,FALSE),"Add to Foods"))</f>
        <v/>
      </c>
      <c r="G496" s="13" t="str">
        <f>IF($C496="","",IFERROR($D496*VLOOKUP($C496,Foods!$A:$E,5,FALSE),"Add to Foods"))</f>
        <v/>
      </c>
      <c r="H496" s="12"/>
      <c r="I496" s="12" t="str">
        <f>IF($C496="","",IF(COUNTIF(Foods!$A:$A,$C496)&gt;0,"Yes","No - add nickname"))</f>
        <v/>
      </c>
    </row>
    <row r="497" ht="15.75" customHeight="1">
      <c r="A497" s="17"/>
      <c r="B497" s="12"/>
      <c r="C497" s="12"/>
      <c r="D497" s="13"/>
      <c r="E497" s="13" t="str">
        <f>IF($C497="","",IFERROR($D497*VLOOKUP($C497,Foods!$A:$E,3,FALSE),"Add to Foods"))</f>
        <v/>
      </c>
      <c r="F497" s="13" t="str">
        <f>IF($C497="","",IFERROR($D497*VLOOKUP($C497,Foods!$A:$E,4,FALSE),"Add to Foods"))</f>
        <v/>
      </c>
      <c r="G497" s="13" t="str">
        <f>IF($C497="","",IFERROR($D497*VLOOKUP($C497,Foods!$A:$E,5,FALSE),"Add to Foods"))</f>
        <v/>
      </c>
      <c r="H497" s="12"/>
      <c r="I497" s="12" t="str">
        <f>IF($C497="","",IF(COUNTIF(Foods!$A:$A,$C497)&gt;0,"Yes","No - add nickname"))</f>
        <v/>
      </c>
    </row>
    <row r="498" ht="15.75" customHeight="1">
      <c r="A498" s="17"/>
      <c r="B498" s="12"/>
      <c r="C498" s="12"/>
      <c r="D498" s="13"/>
      <c r="E498" s="13" t="str">
        <f>IF($C498="","",IFERROR($D498*VLOOKUP($C498,Foods!$A:$E,3,FALSE),"Add to Foods"))</f>
        <v/>
      </c>
      <c r="F498" s="13" t="str">
        <f>IF($C498="","",IFERROR($D498*VLOOKUP($C498,Foods!$A:$E,4,FALSE),"Add to Foods"))</f>
        <v/>
      </c>
      <c r="G498" s="13" t="str">
        <f>IF($C498="","",IFERROR($D498*VLOOKUP($C498,Foods!$A:$E,5,FALSE),"Add to Foods"))</f>
        <v/>
      </c>
      <c r="H498" s="12"/>
      <c r="I498" s="12" t="str">
        <f>IF($C498="","",IF(COUNTIF(Foods!$A:$A,$C498)&gt;0,"Yes","No - add nickname"))</f>
        <v/>
      </c>
    </row>
    <row r="499" ht="15.75" customHeight="1">
      <c r="A499" s="17"/>
      <c r="B499" s="12"/>
      <c r="C499" s="12"/>
      <c r="D499" s="13"/>
      <c r="E499" s="13" t="str">
        <f>IF($C499="","",IFERROR($D499*VLOOKUP($C499,Foods!$A:$E,3,FALSE),"Add to Foods"))</f>
        <v/>
      </c>
      <c r="F499" s="13" t="str">
        <f>IF($C499="","",IFERROR($D499*VLOOKUP($C499,Foods!$A:$E,4,FALSE),"Add to Foods"))</f>
        <v/>
      </c>
      <c r="G499" s="13" t="str">
        <f>IF($C499="","",IFERROR($D499*VLOOKUP($C499,Foods!$A:$E,5,FALSE),"Add to Foods"))</f>
        <v/>
      </c>
      <c r="H499" s="12"/>
      <c r="I499" s="12" t="str">
        <f>IF($C499="","",IF(COUNTIF(Foods!$A:$A,$C499)&gt;0,"Yes","No - add nickname"))</f>
        <v/>
      </c>
    </row>
    <row r="500" ht="15.75" customHeight="1">
      <c r="A500" s="17"/>
      <c r="B500" s="12"/>
      <c r="C500" s="12"/>
      <c r="D500" s="13"/>
      <c r="E500" s="13" t="str">
        <f>IF($C500="","",IFERROR($D500*VLOOKUP($C500,Foods!$A:$E,3,FALSE),"Add to Foods"))</f>
        <v/>
      </c>
      <c r="F500" s="13" t="str">
        <f>IF($C500="","",IFERROR($D500*VLOOKUP($C500,Foods!$A:$E,4,FALSE),"Add to Foods"))</f>
        <v/>
      </c>
      <c r="G500" s="13" t="str">
        <f>IF($C500="","",IFERROR($D500*VLOOKUP($C500,Foods!$A:$E,5,FALSE),"Add to Foods"))</f>
        <v/>
      </c>
      <c r="H500" s="12"/>
      <c r="I500" s="12" t="str">
        <f>IF($C500="","",IF(COUNTIF(Foods!$A:$A,$C500)&gt;0,"Yes","No - add nickname"))</f>
        <v/>
      </c>
    </row>
    <row r="501" ht="15.75" customHeight="1">
      <c r="A501" s="17"/>
      <c r="B501" s="12"/>
      <c r="C501" s="12"/>
      <c r="D501" s="13"/>
      <c r="E501" s="13" t="str">
        <f>IF($C501="","",IFERROR($D501*VLOOKUP($C501,Foods!$A:$E,3,FALSE),"Add to Foods"))</f>
        <v/>
      </c>
      <c r="F501" s="13" t="str">
        <f>IF($C501="","",IFERROR($D501*VLOOKUP($C501,Foods!$A:$E,4,FALSE),"Add to Foods"))</f>
        <v/>
      </c>
      <c r="G501" s="13" t="str">
        <f>IF($C501="","",IFERROR($D501*VLOOKUP($C501,Foods!$A:$E,5,FALSE),"Add to Foods"))</f>
        <v/>
      </c>
      <c r="H501" s="12"/>
      <c r="I501" s="12" t="str">
        <f>IF($C501="","",IF(COUNTIF(Foods!$A:$A,$C501)&gt;0,"Yes","No - add nickname"))</f>
        <v/>
      </c>
    </row>
    <row r="502" ht="15.75" customHeight="1">
      <c r="A502" s="17"/>
      <c r="B502" s="12"/>
      <c r="C502" s="12"/>
      <c r="D502" s="13"/>
      <c r="E502" s="13" t="str">
        <f>IF($C502="","",IFERROR($D502*VLOOKUP($C502,Foods!$A:$E,3,FALSE),"Add to Foods"))</f>
        <v/>
      </c>
      <c r="F502" s="13" t="str">
        <f>IF($C502="","",IFERROR($D502*VLOOKUP($C502,Foods!$A:$E,4,FALSE),"Add to Foods"))</f>
        <v/>
      </c>
      <c r="G502" s="13" t="str">
        <f>IF($C502="","",IFERROR($D502*VLOOKUP($C502,Foods!$A:$E,5,FALSE),"Add to Foods"))</f>
        <v/>
      </c>
      <c r="H502" s="12"/>
      <c r="I502" s="12" t="str">
        <f>IF($C502="","",IF(COUNTIF(Foods!$A:$A,$C502)&gt;0,"Yes","No - add nickname"))</f>
        <v/>
      </c>
    </row>
    <row r="503" ht="15.75" customHeight="1">
      <c r="A503" s="17"/>
      <c r="B503" s="12"/>
      <c r="C503" s="12"/>
      <c r="D503" s="13"/>
      <c r="E503" s="13" t="str">
        <f>IF($C503="","",IFERROR($D503*VLOOKUP($C503,Foods!$A:$E,3,FALSE),"Add to Foods"))</f>
        <v/>
      </c>
      <c r="F503" s="13" t="str">
        <f>IF($C503="","",IFERROR($D503*VLOOKUP($C503,Foods!$A:$E,4,FALSE),"Add to Foods"))</f>
        <v/>
      </c>
      <c r="G503" s="13" t="str">
        <f>IF($C503="","",IFERROR($D503*VLOOKUP($C503,Foods!$A:$E,5,FALSE),"Add to Foods"))</f>
        <v/>
      </c>
      <c r="H503" s="12"/>
      <c r="I503" s="12" t="str">
        <f>IF($C503="","",IF(COUNTIF(Foods!$A:$A,$C503)&gt;0,"Yes","No - add nickname"))</f>
        <v/>
      </c>
    </row>
    <row r="504" ht="15.75" customHeight="1">
      <c r="A504" s="17"/>
      <c r="B504" s="12"/>
      <c r="C504" s="12"/>
      <c r="D504" s="13"/>
      <c r="E504" s="13" t="str">
        <f>IF($C504="","",IFERROR($D504*VLOOKUP($C504,Foods!$A:$E,3,FALSE),"Add to Foods"))</f>
        <v/>
      </c>
      <c r="F504" s="13" t="str">
        <f>IF($C504="","",IFERROR($D504*VLOOKUP($C504,Foods!$A:$E,4,FALSE),"Add to Foods"))</f>
        <v/>
      </c>
      <c r="G504" s="13" t="str">
        <f>IF($C504="","",IFERROR($D504*VLOOKUP($C504,Foods!$A:$E,5,FALSE),"Add to Foods"))</f>
        <v/>
      </c>
      <c r="H504" s="12"/>
      <c r="I504" s="12" t="str">
        <f>IF($C504="","",IF(COUNTIF(Foods!$A:$A,$C504)&gt;0,"Yes","No - add nickname"))</f>
        <v/>
      </c>
    </row>
    <row r="505" ht="15.75" customHeight="1">
      <c r="A505" s="17"/>
      <c r="B505" s="12"/>
      <c r="C505" s="12"/>
      <c r="D505" s="13"/>
      <c r="E505" s="13" t="str">
        <f>IF($C505="","",IFERROR($D505*VLOOKUP($C505,Foods!$A:$E,3,FALSE),"Add to Foods"))</f>
        <v/>
      </c>
      <c r="F505" s="13" t="str">
        <f>IF($C505="","",IFERROR($D505*VLOOKUP($C505,Foods!$A:$E,4,FALSE),"Add to Foods"))</f>
        <v/>
      </c>
      <c r="G505" s="13" t="str">
        <f>IF($C505="","",IFERROR($D505*VLOOKUP($C505,Foods!$A:$E,5,FALSE),"Add to Foods"))</f>
        <v/>
      </c>
      <c r="H505" s="12"/>
      <c r="I505" s="12" t="str">
        <f>IF($C505="","",IF(COUNTIF(Foods!$A:$A,$C505)&gt;0,"Yes","No - add nickname"))</f>
        <v/>
      </c>
    </row>
    <row r="506" ht="15.75" customHeight="1">
      <c r="A506" s="17"/>
      <c r="B506" s="12"/>
      <c r="C506" s="12"/>
      <c r="D506" s="13"/>
      <c r="E506" s="13" t="str">
        <f>IF($C506="","",IFERROR($D506*VLOOKUP($C506,Foods!$A:$E,3,FALSE),"Add to Foods"))</f>
        <v/>
      </c>
      <c r="F506" s="13" t="str">
        <f>IF($C506="","",IFERROR($D506*VLOOKUP($C506,Foods!$A:$E,4,FALSE),"Add to Foods"))</f>
        <v/>
      </c>
      <c r="G506" s="13" t="str">
        <f>IF($C506="","",IFERROR($D506*VLOOKUP($C506,Foods!$A:$E,5,FALSE),"Add to Foods"))</f>
        <v/>
      </c>
      <c r="H506" s="12"/>
      <c r="I506" s="12" t="str">
        <f>IF($C506="","",IF(COUNTIF(Foods!$A:$A,$C506)&gt;0,"Yes","No - add nickname"))</f>
        <v/>
      </c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conditionalFormatting sqref="I2:I506">
    <cfRule type="expression" dxfId="4" priority="1">
      <formula>I2="No - add nickname"</formula>
    </cfRule>
  </conditionalFormatting>
  <dataValidations>
    <dataValidation type="list" allowBlank="1" sqref="C2:C506">
      <formula1>Foods!$A$2:$A$197</formula1>
    </dataValidation>
    <dataValidation type="list" allowBlank="1" sqref="B2:B506">
      <formula1>"Breakfast,Lunch,Dinner,Snack,Dessert,Drink,Other"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42.0"/>
    <col customWidth="1" min="3" max="3" width="12.0"/>
    <col customWidth="1" min="4" max="4" width="13.0"/>
    <col customWidth="1" min="5" max="5" width="18.0"/>
    <col customWidth="1" min="6" max="6" width="10.88"/>
    <col customWidth="1" min="7" max="7" width="63.63"/>
    <col customWidth="1" min="8" max="27" width="8.63"/>
  </cols>
  <sheetData>
    <row r="1" ht="25.5" customHeight="1">
      <c r="A1" s="18" t="s">
        <v>58</v>
      </c>
      <c r="B1" s="18" t="s">
        <v>59</v>
      </c>
      <c r="C1" s="18" t="s">
        <v>3</v>
      </c>
      <c r="D1" s="18" t="s">
        <v>18</v>
      </c>
      <c r="E1" s="18" t="s">
        <v>60</v>
      </c>
      <c r="F1" s="19" t="s">
        <v>61</v>
      </c>
      <c r="G1" s="18" t="s">
        <v>20</v>
      </c>
    </row>
    <row r="2">
      <c r="A2" s="12" t="s">
        <v>24</v>
      </c>
      <c r="B2" s="12" t="s">
        <v>62</v>
      </c>
      <c r="C2" s="20">
        <v>450.0</v>
      </c>
      <c r="D2" s="20">
        <v>35.0</v>
      </c>
      <c r="E2" s="21">
        <v>9.0</v>
      </c>
      <c r="F2" s="12"/>
      <c r="G2" s="12" t="s">
        <v>63</v>
      </c>
    </row>
    <row r="3">
      <c r="A3" s="22" t="s">
        <v>51</v>
      </c>
      <c r="B3" s="23" t="s">
        <v>64</v>
      </c>
      <c r="C3" s="24">
        <v>395.0</v>
      </c>
      <c r="D3" s="25">
        <v>18.0</v>
      </c>
      <c r="E3" s="26">
        <v>7.0</v>
      </c>
      <c r="F3" s="23"/>
      <c r="G3" s="23" t="s">
        <v>65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12" t="s">
        <v>26</v>
      </c>
      <c r="B4" s="12" t="s">
        <v>64</v>
      </c>
      <c r="C4" s="20">
        <v>500.0</v>
      </c>
      <c r="D4" s="20">
        <v>18.0</v>
      </c>
      <c r="E4" s="21">
        <v>7.0</v>
      </c>
      <c r="F4" s="12"/>
      <c r="G4" s="12" t="s">
        <v>65</v>
      </c>
    </row>
    <row r="5">
      <c r="A5" s="12" t="s">
        <v>31</v>
      </c>
      <c r="B5" s="12" t="s">
        <v>66</v>
      </c>
      <c r="C5" s="20">
        <v>650.0</v>
      </c>
      <c r="D5" s="20">
        <v>18.0</v>
      </c>
      <c r="E5" s="21">
        <v>6.0</v>
      </c>
      <c r="F5" s="12"/>
      <c r="G5" s="12" t="s">
        <v>67</v>
      </c>
    </row>
    <row r="6">
      <c r="A6" s="12" t="s">
        <v>33</v>
      </c>
      <c r="B6" s="12" t="s">
        <v>68</v>
      </c>
      <c r="C6" s="20">
        <v>700.0</v>
      </c>
      <c r="D6" s="20">
        <v>20.0</v>
      </c>
      <c r="E6" s="21">
        <v>5.0</v>
      </c>
      <c r="F6" s="12"/>
      <c r="G6" s="12" t="s">
        <v>69</v>
      </c>
    </row>
    <row r="7">
      <c r="A7" s="12" t="s">
        <v>35</v>
      </c>
      <c r="B7" s="12" t="s">
        <v>70</v>
      </c>
      <c r="C7" s="20">
        <v>450.0</v>
      </c>
      <c r="D7" s="20">
        <v>3.0</v>
      </c>
      <c r="E7" s="21">
        <v>2.0</v>
      </c>
      <c r="F7" s="12"/>
      <c r="G7" s="12" t="s">
        <v>71</v>
      </c>
    </row>
    <row r="8">
      <c r="A8" s="12" t="s">
        <v>23</v>
      </c>
      <c r="B8" s="14" t="s">
        <v>72</v>
      </c>
      <c r="C8" s="28">
        <v>400.0</v>
      </c>
      <c r="D8" s="20">
        <v>12.0</v>
      </c>
      <c r="E8" s="21">
        <v>6.0</v>
      </c>
      <c r="F8" s="12"/>
      <c r="G8" s="12" t="s">
        <v>73</v>
      </c>
    </row>
    <row r="9">
      <c r="A9" s="12" t="s">
        <v>45</v>
      </c>
      <c r="B9" s="12" t="s">
        <v>74</v>
      </c>
      <c r="C9" s="20">
        <v>0.0</v>
      </c>
      <c r="D9" s="20">
        <v>0.0</v>
      </c>
      <c r="E9" s="21">
        <v>10.0</v>
      </c>
      <c r="F9" s="12"/>
      <c r="G9" s="12" t="s">
        <v>75</v>
      </c>
    </row>
    <row r="10">
      <c r="A10" s="12" t="s">
        <v>44</v>
      </c>
      <c r="B10" s="12" t="s">
        <v>76</v>
      </c>
      <c r="C10" s="20">
        <v>105.0</v>
      </c>
      <c r="D10" s="20">
        <v>1.0</v>
      </c>
      <c r="E10" s="21">
        <v>8.0</v>
      </c>
      <c r="F10" s="12"/>
      <c r="G10" s="12"/>
    </row>
    <row r="11">
      <c r="A11" s="12" t="s">
        <v>77</v>
      </c>
      <c r="B11" s="12" t="s">
        <v>76</v>
      </c>
      <c r="C11" s="20">
        <v>95.0</v>
      </c>
      <c r="D11" s="20">
        <v>0.0</v>
      </c>
      <c r="E11" s="21">
        <v>8.0</v>
      </c>
      <c r="F11" s="12"/>
      <c r="G11" s="12"/>
    </row>
    <row r="12">
      <c r="A12" s="14" t="s">
        <v>36</v>
      </c>
      <c r="B12" s="14" t="s">
        <v>76</v>
      </c>
      <c r="C12" s="28">
        <v>60.0</v>
      </c>
      <c r="D12" s="28">
        <v>1.0</v>
      </c>
      <c r="E12" s="29">
        <v>9.0</v>
      </c>
      <c r="F12" s="14">
        <v>7.0</v>
      </c>
      <c r="G12" s="12"/>
    </row>
    <row r="13">
      <c r="A13" s="12" t="s">
        <v>78</v>
      </c>
      <c r="B13" s="12" t="s">
        <v>68</v>
      </c>
      <c r="C13" s="20">
        <v>250.0</v>
      </c>
      <c r="D13" s="20">
        <v>20.0</v>
      </c>
      <c r="E13" s="21">
        <v>9.0</v>
      </c>
      <c r="F13" s="12"/>
      <c r="G13" s="12" t="s">
        <v>79</v>
      </c>
    </row>
    <row r="14">
      <c r="A14" s="12" t="s">
        <v>80</v>
      </c>
      <c r="B14" s="12" t="s">
        <v>81</v>
      </c>
      <c r="C14" s="20">
        <v>320.0</v>
      </c>
      <c r="D14" s="20">
        <v>18.0</v>
      </c>
      <c r="E14" s="21">
        <v>8.0</v>
      </c>
      <c r="F14" s="12"/>
      <c r="G14" s="12"/>
    </row>
    <row r="15">
      <c r="A15" s="12" t="s">
        <v>55</v>
      </c>
      <c r="B15" s="12" t="s">
        <v>82</v>
      </c>
      <c r="C15" s="20">
        <v>450.0</v>
      </c>
      <c r="D15" s="20">
        <v>35.0</v>
      </c>
      <c r="E15" s="21">
        <v>9.0</v>
      </c>
      <c r="F15" s="12"/>
      <c r="G15" s="12"/>
    </row>
    <row r="16">
      <c r="A16" s="12" t="s">
        <v>83</v>
      </c>
      <c r="B16" s="12" t="s">
        <v>68</v>
      </c>
      <c r="C16" s="20">
        <v>650.0</v>
      </c>
      <c r="D16" s="20">
        <v>35.0</v>
      </c>
      <c r="E16" s="21">
        <v>7.0</v>
      </c>
      <c r="F16" s="12"/>
      <c r="G16" s="12"/>
    </row>
    <row r="17">
      <c r="A17" s="12" t="s">
        <v>84</v>
      </c>
      <c r="B17" s="12" t="s">
        <v>85</v>
      </c>
      <c r="C17" s="20">
        <v>300.0</v>
      </c>
      <c r="D17" s="20">
        <v>12.0</v>
      </c>
      <c r="E17" s="21">
        <v>4.0</v>
      </c>
      <c r="F17" s="12"/>
      <c r="G17" s="12"/>
    </row>
    <row r="18">
      <c r="A18" s="12" t="s">
        <v>86</v>
      </c>
      <c r="B18" s="12" t="s">
        <v>87</v>
      </c>
      <c r="C18" s="20">
        <v>220.0</v>
      </c>
      <c r="D18" s="20">
        <v>20.0</v>
      </c>
      <c r="E18" s="21">
        <v>6.0</v>
      </c>
      <c r="F18" s="12"/>
      <c r="G18" s="12" t="s">
        <v>88</v>
      </c>
    </row>
    <row r="19">
      <c r="A19" s="14" t="s">
        <v>27</v>
      </c>
      <c r="B19" s="14" t="s">
        <v>68</v>
      </c>
      <c r="C19" s="28">
        <v>60.0</v>
      </c>
      <c r="D19" s="28">
        <v>1.0</v>
      </c>
      <c r="E19" s="29">
        <v>9.0</v>
      </c>
      <c r="F19" s="14">
        <v>7.0</v>
      </c>
      <c r="G19" s="12"/>
    </row>
    <row r="20">
      <c r="A20" s="14" t="s">
        <v>47</v>
      </c>
      <c r="B20" s="14" t="s">
        <v>68</v>
      </c>
      <c r="C20" s="28">
        <v>40.0</v>
      </c>
      <c r="D20" s="28">
        <v>2.0</v>
      </c>
      <c r="E20" s="29">
        <v>10.0</v>
      </c>
      <c r="F20" s="14">
        <v>5.0</v>
      </c>
      <c r="G20" s="12"/>
    </row>
    <row r="21">
      <c r="A21" s="14" t="s">
        <v>28</v>
      </c>
      <c r="B21" s="14" t="s">
        <v>72</v>
      </c>
      <c r="C21" s="28">
        <v>180.0</v>
      </c>
      <c r="D21" s="28">
        <v>3.0</v>
      </c>
      <c r="E21" s="29">
        <v>4.0</v>
      </c>
      <c r="F21" s="14">
        <v>3.0</v>
      </c>
      <c r="G21" s="12"/>
    </row>
    <row r="22" ht="15.75" customHeight="1">
      <c r="A22" s="30" t="s">
        <v>89</v>
      </c>
      <c r="B22" s="30" t="s">
        <v>66</v>
      </c>
      <c r="C22" s="31">
        <v>130.0</v>
      </c>
      <c r="D22" s="32">
        <v>23.0</v>
      </c>
      <c r="E22" s="29">
        <v>9.0</v>
      </c>
      <c r="F22" s="14">
        <v>8.0</v>
      </c>
      <c r="G22" s="12"/>
    </row>
    <row r="23" ht="15.75" customHeight="1">
      <c r="A23" s="30" t="s">
        <v>90</v>
      </c>
      <c r="B23" s="30" t="s">
        <v>66</v>
      </c>
      <c r="C23" s="31">
        <v>150.0</v>
      </c>
      <c r="D23" s="32">
        <v>20.0</v>
      </c>
      <c r="E23" s="29">
        <v>9.0</v>
      </c>
      <c r="F23" s="14">
        <v>8.0</v>
      </c>
      <c r="G23" s="12"/>
    </row>
    <row r="24" ht="15.75" customHeight="1">
      <c r="A24" s="30" t="s">
        <v>43</v>
      </c>
      <c r="B24" s="30" t="s">
        <v>66</v>
      </c>
      <c r="C24" s="31">
        <v>190.0</v>
      </c>
      <c r="D24" s="32">
        <v>18.0</v>
      </c>
      <c r="E24" s="29">
        <v>9.0</v>
      </c>
      <c r="F24" s="14">
        <v>8.0</v>
      </c>
      <c r="G24" s="12"/>
    </row>
    <row r="25" ht="15.75" customHeight="1">
      <c r="A25" s="30" t="s">
        <v>91</v>
      </c>
      <c r="B25" s="30" t="s">
        <v>66</v>
      </c>
      <c r="C25" s="31">
        <v>150.0</v>
      </c>
      <c r="D25" s="32">
        <v>8.0</v>
      </c>
      <c r="E25" s="29">
        <v>9.0</v>
      </c>
      <c r="F25" s="14">
        <v>8.0</v>
      </c>
      <c r="G25" s="12"/>
    </row>
    <row r="26" ht="15.75" customHeight="1">
      <c r="A26" s="14" t="s">
        <v>37</v>
      </c>
      <c r="B26" s="14" t="s">
        <v>92</v>
      </c>
      <c r="C26" s="28">
        <v>460.0</v>
      </c>
      <c r="D26" s="28">
        <v>29.0</v>
      </c>
      <c r="E26" s="29">
        <v>7.0</v>
      </c>
      <c r="F26" s="12"/>
      <c r="G26" s="30" t="s">
        <v>93</v>
      </c>
    </row>
    <row r="27" ht="15.75" customHeight="1">
      <c r="A27" s="14" t="s">
        <v>38</v>
      </c>
      <c r="B27" s="14" t="s">
        <v>94</v>
      </c>
      <c r="C27" s="28">
        <v>50.0</v>
      </c>
      <c r="D27" s="28">
        <v>1.0</v>
      </c>
      <c r="E27" s="29">
        <v>9.0</v>
      </c>
      <c r="F27" s="12"/>
      <c r="G27" s="30" t="s">
        <v>95</v>
      </c>
    </row>
    <row r="28" ht="15.75" customHeight="1">
      <c r="A28" s="14" t="s">
        <v>39</v>
      </c>
      <c r="B28" s="14" t="s">
        <v>96</v>
      </c>
      <c r="C28" s="28">
        <v>40.0</v>
      </c>
      <c r="D28" s="28">
        <v>0.0</v>
      </c>
      <c r="E28" s="29">
        <v>7.0</v>
      </c>
      <c r="F28" s="12"/>
      <c r="G28" s="14" t="s">
        <v>97</v>
      </c>
    </row>
    <row r="29" ht="15.75" customHeight="1">
      <c r="A29" s="30" t="s">
        <v>40</v>
      </c>
      <c r="B29" s="30" t="s">
        <v>98</v>
      </c>
      <c r="C29" s="32">
        <v>190.0</v>
      </c>
      <c r="D29" s="32">
        <v>35.0</v>
      </c>
      <c r="E29" s="29">
        <v>10.0</v>
      </c>
      <c r="G29" s="30" t="s">
        <v>99</v>
      </c>
    </row>
    <row r="30" ht="15.75" customHeight="1">
      <c r="A30" s="30" t="s">
        <v>42</v>
      </c>
      <c r="B30" s="30" t="s">
        <v>100</v>
      </c>
      <c r="C30" s="32">
        <v>55.0</v>
      </c>
      <c r="D30" s="32">
        <v>4.0</v>
      </c>
      <c r="E30" s="29">
        <v>10.0</v>
      </c>
      <c r="G30" s="30" t="s">
        <v>101</v>
      </c>
    </row>
    <row r="31" ht="15.75" customHeight="1">
      <c r="A31" s="30" t="s">
        <v>41</v>
      </c>
      <c r="B31" s="30" t="s">
        <v>102</v>
      </c>
      <c r="C31" s="32">
        <v>180.0</v>
      </c>
      <c r="D31" s="32">
        <v>4.0</v>
      </c>
      <c r="E31" s="29">
        <v>8.0</v>
      </c>
      <c r="G31" s="30" t="s">
        <v>103</v>
      </c>
    </row>
    <row r="32" ht="15.75" customHeight="1">
      <c r="A32" s="14" t="s">
        <v>46</v>
      </c>
      <c r="B32" s="14" t="s">
        <v>104</v>
      </c>
      <c r="C32" s="28">
        <v>400.0</v>
      </c>
      <c r="D32" s="28">
        <v>12.0</v>
      </c>
      <c r="E32" s="33">
        <v>9.0</v>
      </c>
      <c r="F32" s="12"/>
      <c r="G32" s="12"/>
    </row>
    <row r="33" ht="15.75" customHeight="1">
      <c r="A33" s="14" t="s">
        <v>57</v>
      </c>
      <c r="B33" s="14" t="s">
        <v>104</v>
      </c>
      <c r="C33" s="28">
        <v>400.0</v>
      </c>
      <c r="D33" s="28">
        <v>20.0</v>
      </c>
      <c r="E33" s="33">
        <v>8.8</v>
      </c>
      <c r="F33" s="12"/>
      <c r="G33" s="12"/>
    </row>
    <row r="34" ht="15.75" customHeight="1">
      <c r="A34" s="22" t="s">
        <v>105</v>
      </c>
      <c r="B34" s="23" t="s">
        <v>104</v>
      </c>
      <c r="C34" s="24">
        <v>460.0</v>
      </c>
      <c r="D34" s="24">
        <v>21.0</v>
      </c>
      <c r="E34" s="34">
        <v>7.8</v>
      </c>
      <c r="F34" s="12"/>
      <c r="G34" s="12"/>
    </row>
    <row r="35" ht="15.75" customHeight="1">
      <c r="A35" s="30" t="s">
        <v>106</v>
      </c>
      <c r="B35" s="30" t="s">
        <v>107</v>
      </c>
      <c r="C35" s="35">
        <v>250.0</v>
      </c>
      <c r="D35" s="35">
        <v>2.0</v>
      </c>
      <c r="E35" s="36">
        <v>2.0</v>
      </c>
      <c r="F35" s="12"/>
      <c r="G35" s="12"/>
    </row>
    <row r="36" ht="15.75" customHeight="1">
      <c r="A36" s="30" t="s">
        <v>108</v>
      </c>
      <c r="B36" s="30" t="s">
        <v>107</v>
      </c>
      <c r="C36" s="35">
        <v>190.0</v>
      </c>
      <c r="D36" s="35">
        <v>2.0</v>
      </c>
      <c r="E36" s="36">
        <v>2.0</v>
      </c>
      <c r="F36" s="12"/>
      <c r="G36" s="12"/>
    </row>
    <row r="37" ht="15.75" customHeight="1">
      <c r="A37" s="30" t="s">
        <v>109</v>
      </c>
      <c r="B37" s="30" t="s">
        <v>107</v>
      </c>
      <c r="C37" s="35">
        <v>210.0</v>
      </c>
      <c r="D37" s="35">
        <v>2.0</v>
      </c>
      <c r="E37" s="36">
        <v>2.0</v>
      </c>
      <c r="F37" s="12"/>
      <c r="G37" s="12"/>
    </row>
    <row r="38" ht="15.75" customHeight="1">
      <c r="A38" s="30" t="s">
        <v>110</v>
      </c>
      <c r="B38" s="30" t="s">
        <v>107</v>
      </c>
      <c r="C38" s="35">
        <v>220.0</v>
      </c>
      <c r="D38" s="35">
        <v>3.0</v>
      </c>
      <c r="E38" s="36">
        <v>2.0</v>
      </c>
      <c r="F38" s="12"/>
      <c r="G38" s="12"/>
    </row>
    <row r="39" ht="15.75" customHeight="1">
      <c r="A39" s="30" t="s">
        <v>48</v>
      </c>
      <c r="B39" s="30" t="s">
        <v>111</v>
      </c>
      <c r="C39" s="35">
        <v>320.0</v>
      </c>
      <c r="D39" s="35">
        <v>10.0</v>
      </c>
      <c r="E39" s="36">
        <v>6.0</v>
      </c>
      <c r="F39" s="12"/>
      <c r="G39" s="12"/>
    </row>
    <row r="40" ht="15.75" customHeight="1">
      <c r="A40" s="30" t="s">
        <v>112</v>
      </c>
      <c r="B40" s="30" t="s">
        <v>113</v>
      </c>
      <c r="C40" s="35">
        <v>320.0</v>
      </c>
      <c r="D40" s="35">
        <v>14.0</v>
      </c>
      <c r="E40" s="36">
        <v>4.0</v>
      </c>
      <c r="F40" s="12"/>
      <c r="G40" s="12"/>
    </row>
    <row r="41" ht="15.75" customHeight="1">
      <c r="A41" s="30" t="s">
        <v>114</v>
      </c>
      <c r="B41" s="30" t="s">
        <v>113</v>
      </c>
      <c r="C41" s="35">
        <v>330.0</v>
      </c>
      <c r="D41" s="35">
        <v>15.0</v>
      </c>
      <c r="E41" s="36">
        <v>5.0</v>
      </c>
      <c r="F41" s="12"/>
      <c r="G41" s="12"/>
    </row>
    <row r="42" ht="15.75" customHeight="1">
      <c r="A42" s="30" t="s">
        <v>115</v>
      </c>
      <c r="B42" s="30" t="s">
        <v>113</v>
      </c>
      <c r="C42" s="35">
        <v>300.0</v>
      </c>
      <c r="D42" s="35">
        <v>14.0</v>
      </c>
      <c r="E42" s="36">
        <v>5.0</v>
      </c>
      <c r="F42" s="12"/>
      <c r="G42" s="12"/>
    </row>
    <row r="43" ht="15.75" customHeight="1">
      <c r="A43" s="14" t="s">
        <v>50</v>
      </c>
      <c r="B43" s="14" t="s">
        <v>66</v>
      </c>
      <c r="C43" s="28">
        <v>140.0</v>
      </c>
      <c r="D43" s="28">
        <v>12.0</v>
      </c>
      <c r="E43" s="33">
        <v>9.0</v>
      </c>
      <c r="F43" s="12"/>
      <c r="G43" s="12"/>
    </row>
    <row r="44" ht="15.75" customHeight="1">
      <c r="A44" s="14" t="s">
        <v>49</v>
      </c>
      <c r="B44" s="30" t="s">
        <v>116</v>
      </c>
      <c r="C44" s="28">
        <v>640.0</v>
      </c>
      <c r="D44" s="28">
        <v>38.0</v>
      </c>
      <c r="E44" s="33">
        <v>7.0</v>
      </c>
      <c r="F44" s="12"/>
      <c r="G44" s="12"/>
    </row>
    <row r="45" ht="15.75" customHeight="1">
      <c r="A45" s="14" t="s">
        <v>117</v>
      </c>
      <c r="B45" s="30" t="s">
        <v>66</v>
      </c>
      <c r="C45" s="28">
        <v>150.0</v>
      </c>
      <c r="D45" s="28">
        <v>8.0</v>
      </c>
      <c r="E45" s="33">
        <v>7.0</v>
      </c>
      <c r="F45" s="12"/>
      <c r="G45" s="12"/>
    </row>
    <row r="46" ht="15.75" customHeight="1">
      <c r="A46" s="30" t="s">
        <v>53</v>
      </c>
      <c r="B46" s="30" t="s">
        <v>118</v>
      </c>
      <c r="C46" s="35">
        <v>70.0</v>
      </c>
      <c r="D46" s="35">
        <v>6.0</v>
      </c>
      <c r="E46" s="37">
        <v>9.0</v>
      </c>
      <c r="F46" s="12"/>
      <c r="G46" s="12"/>
    </row>
    <row r="47" ht="15.75" customHeight="1">
      <c r="A47" s="30" t="s">
        <v>119</v>
      </c>
      <c r="B47" s="30" t="s">
        <v>120</v>
      </c>
      <c r="C47" s="35">
        <v>50.0</v>
      </c>
      <c r="D47" s="35">
        <v>11.0</v>
      </c>
      <c r="E47" s="37">
        <v>9.0</v>
      </c>
      <c r="F47" s="12"/>
      <c r="G47" s="12"/>
    </row>
    <row r="48" ht="15.75" customHeight="1">
      <c r="A48" s="30" t="s">
        <v>121</v>
      </c>
      <c r="B48" s="30" t="s">
        <v>122</v>
      </c>
      <c r="C48" s="35">
        <v>115.0</v>
      </c>
      <c r="D48" s="35">
        <v>7.0</v>
      </c>
      <c r="E48" s="37">
        <v>6.0</v>
      </c>
      <c r="F48" s="12"/>
      <c r="G48" s="12"/>
    </row>
    <row r="49" ht="15.75" customHeight="1">
      <c r="A49" s="30" t="s">
        <v>123</v>
      </c>
      <c r="B49" s="30" t="s">
        <v>122</v>
      </c>
      <c r="C49" s="35">
        <v>110.0</v>
      </c>
      <c r="D49" s="35">
        <v>8.0</v>
      </c>
      <c r="E49" s="37">
        <v>7.0</v>
      </c>
      <c r="F49" s="12"/>
      <c r="G49" s="12"/>
    </row>
    <row r="50" ht="15.75" customHeight="1">
      <c r="A50" s="30" t="s">
        <v>124</v>
      </c>
      <c r="B50" s="30" t="s">
        <v>122</v>
      </c>
      <c r="C50" s="35">
        <v>85.0</v>
      </c>
      <c r="D50" s="35">
        <v>7.0</v>
      </c>
      <c r="E50" s="37">
        <v>8.0</v>
      </c>
      <c r="F50" s="12"/>
      <c r="G50" s="12"/>
    </row>
    <row r="51" ht="15.75" customHeight="1">
      <c r="A51" s="30" t="s">
        <v>125</v>
      </c>
      <c r="B51" s="30" t="s">
        <v>122</v>
      </c>
      <c r="C51" s="35">
        <v>110.0</v>
      </c>
      <c r="D51" s="35">
        <v>10.0</v>
      </c>
      <c r="E51" s="37">
        <v>7.0</v>
      </c>
      <c r="F51" s="12"/>
      <c r="G51" s="12"/>
    </row>
    <row r="52" ht="15.75" customHeight="1">
      <c r="A52" s="30" t="s">
        <v>126</v>
      </c>
      <c r="B52" s="30" t="s">
        <v>66</v>
      </c>
      <c r="C52" s="35">
        <v>180.0</v>
      </c>
      <c r="D52" s="35">
        <v>24.0</v>
      </c>
      <c r="E52" s="37">
        <v>10.0</v>
      </c>
      <c r="F52" s="12"/>
      <c r="G52" s="12"/>
    </row>
    <row r="53" ht="15.75" customHeight="1">
      <c r="A53" s="30" t="s">
        <v>127</v>
      </c>
      <c r="B53" s="30" t="s">
        <v>66</v>
      </c>
      <c r="C53" s="35">
        <v>140.0</v>
      </c>
      <c r="D53" s="35">
        <v>23.0</v>
      </c>
      <c r="E53" s="37">
        <v>10.0</v>
      </c>
      <c r="F53" s="12"/>
      <c r="G53" s="12"/>
    </row>
    <row r="54" ht="15.75" customHeight="1">
      <c r="A54" s="30" t="s">
        <v>128</v>
      </c>
      <c r="B54" s="30" t="s">
        <v>66</v>
      </c>
      <c r="C54" s="35">
        <v>85.0</v>
      </c>
      <c r="D54" s="35">
        <v>1.0</v>
      </c>
      <c r="E54" s="37">
        <v>10.0</v>
      </c>
      <c r="F54" s="12"/>
      <c r="G54" s="12"/>
    </row>
    <row r="55" ht="15.75" customHeight="1">
      <c r="A55" s="30" t="s">
        <v>129</v>
      </c>
      <c r="B55" s="30" t="s">
        <v>66</v>
      </c>
      <c r="C55" s="35">
        <v>50.0</v>
      </c>
      <c r="D55" s="35">
        <v>1.0</v>
      </c>
      <c r="E55" s="37">
        <v>10.0</v>
      </c>
      <c r="F55" s="12"/>
      <c r="G55" s="12"/>
    </row>
    <row r="56" ht="15.75" customHeight="1">
      <c r="A56" s="30" t="s">
        <v>130</v>
      </c>
      <c r="B56" s="30" t="s">
        <v>66</v>
      </c>
      <c r="C56" s="35">
        <v>65.0</v>
      </c>
      <c r="D56" s="35">
        <v>2.0</v>
      </c>
      <c r="E56" s="37">
        <v>10.0</v>
      </c>
      <c r="F56" s="12"/>
      <c r="G56" s="12"/>
    </row>
    <row r="57" ht="15.75" customHeight="1">
      <c r="A57" s="30" t="s">
        <v>131</v>
      </c>
      <c r="B57" s="30" t="s">
        <v>66</v>
      </c>
      <c r="C57" s="35">
        <v>60.0</v>
      </c>
      <c r="D57" s="35">
        <v>2.0</v>
      </c>
      <c r="E57" s="37">
        <v>10.0</v>
      </c>
      <c r="F57" s="12"/>
      <c r="G57" s="12"/>
    </row>
    <row r="58" ht="15.75" customHeight="1">
      <c r="A58" s="30" t="s">
        <v>36</v>
      </c>
      <c r="B58" s="30" t="s">
        <v>76</v>
      </c>
      <c r="C58" s="35">
        <v>60.0</v>
      </c>
      <c r="D58" s="35">
        <v>1.0</v>
      </c>
      <c r="E58" s="37">
        <v>10.0</v>
      </c>
      <c r="F58" s="12"/>
      <c r="G58" s="12"/>
    </row>
    <row r="59" ht="15.75" customHeight="1">
      <c r="A59" s="30" t="s">
        <v>132</v>
      </c>
      <c r="B59" s="30" t="s">
        <v>76</v>
      </c>
      <c r="C59" s="35">
        <v>65.0</v>
      </c>
      <c r="D59" s="35">
        <v>1.0</v>
      </c>
      <c r="E59" s="37">
        <v>10.0</v>
      </c>
      <c r="F59" s="12"/>
      <c r="G59" s="12"/>
    </row>
    <row r="60" ht="15.75" customHeight="1">
      <c r="A60" s="30" t="s">
        <v>133</v>
      </c>
      <c r="B60" s="30" t="s">
        <v>76</v>
      </c>
      <c r="C60" s="35">
        <v>30.0</v>
      </c>
      <c r="D60" s="35">
        <v>0.0</v>
      </c>
      <c r="E60" s="37">
        <v>9.0</v>
      </c>
      <c r="F60" s="12"/>
      <c r="G60" s="12"/>
    </row>
    <row r="61" ht="15.75" customHeight="1">
      <c r="A61" s="30" t="s">
        <v>134</v>
      </c>
      <c r="B61" s="30" t="s">
        <v>76</v>
      </c>
      <c r="C61" s="35">
        <v>20.0</v>
      </c>
      <c r="D61" s="35">
        <v>0.0</v>
      </c>
      <c r="E61" s="37">
        <v>9.0</v>
      </c>
      <c r="F61" s="12"/>
      <c r="G61" s="12"/>
    </row>
    <row r="62" ht="15.75" customHeight="1">
      <c r="A62" s="30" t="s">
        <v>135</v>
      </c>
      <c r="B62" s="30" t="s">
        <v>66</v>
      </c>
      <c r="C62" s="35">
        <v>95.0</v>
      </c>
      <c r="D62" s="35">
        <v>2.0</v>
      </c>
      <c r="E62" s="37">
        <v>9.0</v>
      </c>
      <c r="F62" s="12"/>
      <c r="G62" s="12"/>
    </row>
    <row r="63" ht="15.75" customHeight="1">
      <c r="A63" s="30" t="s">
        <v>136</v>
      </c>
      <c r="B63" s="30" t="s">
        <v>137</v>
      </c>
      <c r="C63" s="35">
        <v>230.0</v>
      </c>
      <c r="D63" s="35">
        <v>5.0</v>
      </c>
      <c r="E63" s="37">
        <v>6.0</v>
      </c>
      <c r="F63" s="12"/>
      <c r="G63" s="12"/>
    </row>
    <row r="64" ht="15.75" customHeight="1">
      <c r="A64" s="30" t="s">
        <v>138</v>
      </c>
      <c r="B64" s="30" t="s">
        <v>85</v>
      </c>
      <c r="C64" s="35">
        <v>120.0</v>
      </c>
      <c r="D64" s="35">
        <v>4.0</v>
      </c>
      <c r="E64" s="37">
        <v>7.0</v>
      </c>
      <c r="F64" s="12"/>
      <c r="G64" s="12"/>
    </row>
    <row r="65" ht="15.75" customHeight="1">
      <c r="A65" s="30" t="s">
        <v>139</v>
      </c>
      <c r="B65" s="30" t="s">
        <v>85</v>
      </c>
      <c r="C65" s="35">
        <v>110.0</v>
      </c>
      <c r="D65" s="35">
        <v>5.0</v>
      </c>
      <c r="E65" s="37">
        <v>8.0</v>
      </c>
      <c r="F65" s="12"/>
      <c r="G65" s="12"/>
    </row>
    <row r="66" ht="15.75" customHeight="1">
      <c r="A66" s="30" t="s">
        <v>140</v>
      </c>
      <c r="B66" s="30" t="s">
        <v>85</v>
      </c>
      <c r="C66" s="35">
        <v>120.0</v>
      </c>
      <c r="D66" s="35">
        <v>5.0</v>
      </c>
      <c r="E66" s="37">
        <v>8.0</v>
      </c>
      <c r="F66" s="12"/>
      <c r="G66" s="12"/>
    </row>
    <row r="67" ht="15.75" customHeight="1">
      <c r="A67" s="30" t="s">
        <v>141</v>
      </c>
      <c r="B67" s="30" t="s">
        <v>142</v>
      </c>
      <c r="C67" s="35">
        <v>150.0</v>
      </c>
      <c r="D67" s="35">
        <v>5.0</v>
      </c>
      <c r="E67" s="37">
        <v>6.0</v>
      </c>
      <c r="F67" s="12"/>
      <c r="G67" s="12"/>
    </row>
    <row r="68" ht="15.75" customHeight="1">
      <c r="A68" s="30" t="s">
        <v>143</v>
      </c>
      <c r="B68" s="30">
        <v>1.0</v>
      </c>
      <c r="C68" s="35">
        <v>190.0</v>
      </c>
      <c r="D68" s="35">
        <v>5.0</v>
      </c>
      <c r="E68" s="37">
        <v>5.0</v>
      </c>
      <c r="F68" s="12"/>
      <c r="G68" s="12"/>
    </row>
    <row r="69" ht="15.75" customHeight="1">
      <c r="A69" s="30" t="s">
        <v>144</v>
      </c>
      <c r="B69" s="30">
        <v>1.0</v>
      </c>
      <c r="C69" s="35">
        <v>60.0</v>
      </c>
      <c r="D69" s="35">
        <v>2.0</v>
      </c>
      <c r="E69" s="37">
        <v>8.0</v>
      </c>
      <c r="F69" s="12"/>
      <c r="G69" s="12"/>
    </row>
    <row r="70" ht="15.75" customHeight="1">
      <c r="A70" s="30" t="s">
        <v>145</v>
      </c>
      <c r="B70" s="30" t="s">
        <v>146</v>
      </c>
      <c r="C70" s="35">
        <v>70.0</v>
      </c>
      <c r="D70" s="35">
        <v>2.0</v>
      </c>
      <c r="E70" s="37">
        <v>9.0</v>
      </c>
      <c r="F70" s="12"/>
      <c r="G70" s="12"/>
    </row>
    <row r="71" ht="15.75" customHeight="1">
      <c r="A71" s="30" t="s">
        <v>147</v>
      </c>
      <c r="B71" s="30" t="s">
        <v>148</v>
      </c>
      <c r="C71" s="35">
        <v>120.0</v>
      </c>
      <c r="D71" s="35">
        <v>2.0</v>
      </c>
      <c r="E71" s="37">
        <v>10.0</v>
      </c>
      <c r="F71" s="12"/>
      <c r="G71" s="12"/>
    </row>
    <row r="72" ht="15.75" customHeight="1">
      <c r="A72" s="30" t="s">
        <v>149</v>
      </c>
      <c r="B72" s="30" t="s">
        <v>146</v>
      </c>
      <c r="C72" s="35">
        <v>190.0</v>
      </c>
      <c r="D72" s="35">
        <v>7.0</v>
      </c>
      <c r="E72" s="37">
        <v>7.0</v>
      </c>
      <c r="F72" s="12"/>
      <c r="G72" s="12"/>
    </row>
    <row r="73" ht="15.75" customHeight="1">
      <c r="A73" s="30" t="s">
        <v>150</v>
      </c>
      <c r="B73" s="30" t="s">
        <v>146</v>
      </c>
      <c r="C73" s="35">
        <v>190.0</v>
      </c>
      <c r="D73" s="35">
        <v>7.0</v>
      </c>
      <c r="E73" s="37">
        <v>8.0</v>
      </c>
      <c r="F73" s="12"/>
      <c r="G73" s="12"/>
    </row>
    <row r="74" ht="15.75" customHeight="1">
      <c r="A74" s="30" t="s">
        <v>151</v>
      </c>
      <c r="B74" s="30" t="s">
        <v>152</v>
      </c>
      <c r="C74" s="35">
        <v>290.0</v>
      </c>
      <c r="D74" s="35">
        <v>24.0</v>
      </c>
      <c r="E74" s="37">
        <v>6.0</v>
      </c>
      <c r="F74" s="12"/>
      <c r="G74" s="12"/>
    </row>
    <row r="75" ht="15.75" customHeight="1">
      <c r="A75" s="30" t="s">
        <v>153</v>
      </c>
      <c r="B75" s="30" t="s">
        <v>152</v>
      </c>
      <c r="C75" s="35">
        <v>200.0</v>
      </c>
      <c r="D75" s="35">
        <v>23.0</v>
      </c>
      <c r="E75" s="37">
        <v>8.0</v>
      </c>
      <c r="F75" s="12"/>
      <c r="G75" s="12"/>
    </row>
    <row r="76" ht="15.75" customHeight="1">
      <c r="A76" s="30" t="s">
        <v>154</v>
      </c>
      <c r="B76" s="30" t="s">
        <v>152</v>
      </c>
      <c r="C76" s="35">
        <v>300.0</v>
      </c>
      <c r="D76" s="35">
        <v>23.0</v>
      </c>
      <c r="E76" s="37">
        <v>6.0</v>
      </c>
      <c r="F76" s="12"/>
      <c r="G76" s="12"/>
    </row>
    <row r="77" ht="15.75" customHeight="1">
      <c r="A77" s="30" t="s">
        <v>155</v>
      </c>
      <c r="B77" s="30" t="s">
        <v>152</v>
      </c>
      <c r="C77" s="35">
        <v>170.0</v>
      </c>
      <c r="D77" s="35">
        <v>23.0</v>
      </c>
      <c r="E77" s="37">
        <v>9.0</v>
      </c>
      <c r="F77" s="12"/>
      <c r="G77" s="12"/>
    </row>
    <row r="78" ht="15.75" customHeight="1">
      <c r="A78" s="30" t="s">
        <v>156</v>
      </c>
      <c r="B78" s="30" t="s">
        <v>152</v>
      </c>
      <c r="C78" s="35">
        <v>170.0</v>
      </c>
      <c r="D78" s="35">
        <v>25.0</v>
      </c>
      <c r="E78" s="37">
        <v>9.0</v>
      </c>
      <c r="F78" s="12"/>
      <c r="G78" s="12"/>
    </row>
    <row r="79" ht="15.75" customHeight="1">
      <c r="A79" s="30" t="s">
        <v>157</v>
      </c>
      <c r="B79" s="30" t="s">
        <v>158</v>
      </c>
      <c r="C79" s="35">
        <v>60.0</v>
      </c>
      <c r="D79" s="35">
        <v>12.0</v>
      </c>
      <c r="E79" s="37">
        <v>8.0</v>
      </c>
      <c r="F79" s="12"/>
      <c r="G79" s="12"/>
    </row>
    <row r="80" ht="15.75" customHeight="1">
      <c r="A80" s="30" t="s">
        <v>159</v>
      </c>
      <c r="B80" s="30" t="s">
        <v>158</v>
      </c>
      <c r="C80" s="35">
        <v>70.0</v>
      </c>
      <c r="D80" s="35">
        <v>11.0</v>
      </c>
      <c r="E80" s="37">
        <v>7.0</v>
      </c>
      <c r="F80" s="12"/>
      <c r="G80" s="12"/>
    </row>
    <row r="81" ht="15.75" customHeight="1">
      <c r="A81" s="30" t="s">
        <v>160</v>
      </c>
      <c r="B81" s="30" t="s">
        <v>158</v>
      </c>
      <c r="C81" s="35">
        <v>80.0</v>
      </c>
      <c r="D81" s="35">
        <v>13.0</v>
      </c>
      <c r="E81" s="37">
        <v>8.0</v>
      </c>
      <c r="F81" s="12"/>
      <c r="G81" s="12"/>
    </row>
    <row r="82" ht="15.75" customHeight="1">
      <c r="A82" s="30" t="s">
        <v>161</v>
      </c>
      <c r="B82" s="30" t="s">
        <v>158</v>
      </c>
      <c r="C82" s="35">
        <v>230.0</v>
      </c>
      <c r="D82" s="35">
        <v>12.0</v>
      </c>
      <c r="E82" s="37">
        <v>3.0</v>
      </c>
      <c r="F82" s="12"/>
      <c r="G82" s="12"/>
    </row>
    <row r="83" ht="15.75" customHeight="1">
      <c r="A83" s="30" t="s">
        <v>162</v>
      </c>
      <c r="B83" s="30">
        <v>1.0</v>
      </c>
      <c r="C83" s="35">
        <v>430.0</v>
      </c>
      <c r="D83" s="35">
        <v>26.0</v>
      </c>
      <c r="E83" s="37">
        <v>5.0</v>
      </c>
      <c r="F83" s="12"/>
      <c r="G83" s="12"/>
    </row>
    <row r="84" ht="15.75" customHeight="1">
      <c r="A84" s="30" t="s">
        <v>163</v>
      </c>
      <c r="B84" s="30">
        <v>1.0</v>
      </c>
      <c r="C84" s="35">
        <v>520.0</v>
      </c>
      <c r="D84" s="35">
        <v>30.0</v>
      </c>
      <c r="E84" s="37">
        <v>5.0</v>
      </c>
      <c r="F84" s="12"/>
      <c r="G84" s="12"/>
    </row>
    <row r="85" ht="15.75" customHeight="1">
      <c r="A85" s="30" t="s">
        <v>164</v>
      </c>
      <c r="B85" s="30">
        <v>1.0</v>
      </c>
      <c r="C85" s="35">
        <v>740.0</v>
      </c>
      <c r="D85" s="35">
        <v>43.0</v>
      </c>
      <c r="E85" s="37">
        <v>4.0</v>
      </c>
      <c r="F85" s="12"/>
      <c r="G85" s="12"/>
    </row>
    <row r="86" ht="15.75" customHeight="1">
      <c r="A86" s="30" t="s">
        <v>165</v>
      </c>
      <c r="B86" s="30">
        <v>1.0</v>
      </c>
      <c r="C86" s="35">
        <v>250.0</v>
      </c>
      <c r="D86" s="35">
        <v>18.0</v>
      </c>
      <c r="E86" s="37">
        <v>8.0</v>
      </c>
      <c r="F86" s="12"/>
      <c r="G86" s="12"/>
    </row>
    <row r="87" ht="15.75" customHeight="1">
      <c r="A87" s="30" t="s">
        <v>166</v>
      </c>
      <c r="B87" s="30">
        <v>1.0</v>
      </c>
      <c r="C87" s="35">
        <v>220.0</v>
      </c>
      <c r="D87" s="35">
        <v>15.0</v>
      </c>
      <c r="E87" s="37">
        <v>9.0</v>
      </c>
      <c r="F87" s="12"/>
      <c r="G87" s="12"/>
    </row>
    <row r="88" ht="15.75" customHeight="1">
      <c r="A88" s="30" t="s">
        <v>167</v>
      </c>
      <c r="B88" s="30">
        <v>1.0</v>
      </c>
      <c r="C88" s="35">
        <v>320.0</v>
      </c>
      <c r="D88" s="35">
        <v>22.0</v>
      </c>
      <c r="E88" s="37">
        <v>8.0</v>
      </c>
      <c r="F88" s="12"/>
      <c r="G88" s="12"/>
    </row>
    <row r="89" ht="15.75" customHeight="1">
      <c r="A89" s="30" t="s">
        <v>52</v>
      </c>
      <c r="B89" s="30" t="s">
        <v>168</v>
      </c>
      <c r="C89" s="35">
        <v>200.0</v>
      </c>
      <c r="D89" s="35">
        <v>4.0</v>
      </c>
      <c r="E89" s="37">
        <v>4.0</v>
      </c>
      <c r="F89" s="30">
        <v>4.0</v>
      </c>
      <c r="G89" s="30" t="s">
        <v>169</v>
      </c>
    </row>
    <row r="90" ht="15.75" customHeight="1">
      <c r="A90" s="30" t="s">
        <v>170</v>
      </c>
      <c r="B90" s="30" t="s">
        <v>171</v>
      </c>
      <c r="C90" s="35">
        <v>130.0</v>
      </c>
      <c r="D90" s="35">
        <v>2.0</v>
      </c>
      <c r="E90" s="37">
        <v>3.0</v>
      </c>
      <c r="F90" s="30">
        <v>3.0</v>
      </c>
      <c r="G90" s="30" t="s">
        <v>169</v>
      </c>
    </row>
    <row r="91" ht="15.75" customHeight="1">
      <c r="A91" s="30" t="s">
        <v>172</v>
      </c>
      <c r="B91" s="30" t="s">
        <v>173</v>
      </c>
      <c r="C91" s="35">
        <v>130.0</v>
      </c>
      <c r="D91" s="35">
        <v>1.0</v>
      </c>
      <c r="E91" s="37">
        <v>3.0</v>
      </c>
      <c r="F91" s="30">
        <v>3.0</v>
      </c>
      <c r="G91" s="30" t="s">
        <v>169</v>
      </c>
    </row>
    <row r="92" ht="15.75" customHeight="1">
      <c r="A92" s="30" t="s">
        <v>174</v>
      </c>
      <c r="B92" s="30" t="s">
        <v>175</v>
      </c>
      <c r="C92" s="35">
        <v>200.0</v>
      </c>
      <c r="D92" s="35">
        <v>5.0</v>
      </c>
      <c r="E92" s="37">
        <v>4.0</v>
      </c>
      <c r="F92" s="30">
        <v>5.0</v>
      </c>
      <c r="G92" s="30" t="s">
        <v>169</v>
      </c>
    </row>
    <row r="93" ht="15.75" customHeight="1">
      <c r="A93" s="30" t="s">
        <v>176</v>
      </c>
      <c r="B93" s="30" t="s">
        <v>168</v>
      </c>
      <c r="C93" s="35">
        <v>100.0</v>
      </c>
      <c r="D93" s="35">
        <v>2.0</v>
      </c>
      <c r="E93" s="37">
        <v>4.0</v>
      </c>
      <c r="F93" s="30">
        <v>4.0</v>
      </c>
      <c r="G93" s="30" t="s">
        <v>169</v>
      </c>
    </row>
    <row r="94" ht="15.75" customHeight="1">
      <c r="A94" s="30" t="s">
        <v>177</v>
      </c>
      <c r="B94" s="30" t="s">
        <v>168</v>
      </c>
      <c r="C94" s="35">
        <v>160.0</v>
      </c>
      <c r="D94" s="35">
        <v>3.0</v>
      </c>
      <c r="E94" s="37">
        <v>4.0</v>
      </c>
      <c r="F94" s="30">
        <v>4.0</v>
      </c>
      <c r="G94" s="30" t="s">
        <v>169</v>
      </c>
    </row>
    <row r="95" ht="15.75" customHeight="1">
      <c r="A95" s="30" t="s">
        <v>178</v>
      </c>
      <c r="B95" s="30" t="s">
        <v>168</v>
      </c>
      <c r="C95" s="35">
        <v>230.0</v>
      </c>
      <c r="D95" s="35">
        <v>5.0</v>
      </c>
      <c r="E95" s="37">
        <v>4.0</v>
      </c>
      <c r="F95" s="30">
        <v>5.0</v>
      </c>
      <c r="G95" s="30" t="s">
        <v>169</v>
      </c>
    </row>
    <row r="96" ht="15.75" customHeight="1">
      <c r="A96" s="30" t="s">
        <v>179</v>
      </c>
      <c r="B96" s="30" t="s">
        <v>168</v>
      </c>
      <c r="C96" s="35">
        <v>200.0</v>
      </c>
      <c r="D96" s="35">
        <v>6.0</v>
      </c>
      <c r="E96" s="37">
        <v>6.0</v>
      </c>
      <c r="F96" s="30">
        <v>6.0</v>
      </c>
      <c r="G96" s="30" t="s">
        <v>180</v>
      </c>
    </row>
    <row r="97" ht="15.75" customHeight="1">
      <c r="A97" s="30" t="s">
        <v>181</v>
      </c>
      <c r="B97" s="30" t="s">
        <v>182</v>
      </c>
      <c r="C97" s="35">
        <v>200.0</v>
      </c>
      <c r="D97" s="35">
        <v>3.0</v>
      </c>
      <c r="E97" s="37">
        <v>2.0</v>
      </c>
      <c r="F97" s="30">
        <v>2.0</v>
      </c>
      <c r="G97" s="30" t="s">
        <v>169</v>
      </c>
    </row>
    <row r="98" ht="15.75" customHeight="1">
      <c r="A98" s="30" t="s">
        <v>183</v>
      </c>
      <c r="B98" s="30" t="s">
        <v>168</v>
      </c>
      <c r="C98" s="35">
        <v>100.0</v>
      </c>
      <c r="D98" s="35">
        <v>1.0</v>
      </c>
      <c r="E98" s="37">
        <v>2.0</v>
      </c>
      <c r="F98" s="30">
        <v>2.0</v>
      </c>
      <c r="G98" s="30" t="s">
        <v>184</v>
      </c>
    </row>
    <row r="99" ht="15.75" customHeight="1">
      <c r="A99" s="12"/>
      <c r="B99" s="12"/>
      <c r="C99" s="20"/>
      <c r="D99" s="20"/>
      <c r="E99" s="38"/>
      <c r="F99" s="12"/>
      <c r="G99" s="12"/>
    </row>
    <row r="100" ht="15.75" customHeight="1">
      <c r="A100" s="12"/>
      <c r="B100" s="12"/>
      <c r="C100" s="20"/>
      <c r="D100" s="20"/>
      <c r="E100" s="38"/>
      <c r="F100" s="12"/>
      <c r="G100" s="12"/>
    </row>
    <row r="101" ht="15.75" customHeight="1">
      <c r="A101" s="12"/>
      <c r="B101" s="12"/>
      <c r="C101" s="20"/>
      <c r="D101" s="20"/>
      <c r="E101" s="38"/>
      <c r="F101" s="12"/>
      <c r="G101" s="12"/>
    </row>
    <row r="102" ht="15.75" customHeight="1">
      <c r="A102" s="12"/>
      <c r="B102" s="12"/>
      <c r="C102" s="20"/>
      <c r="D102" s="20"/>
      <c r="E102" s="38"/>
      <c r="F102" s="12"/>
      <c r="G102" s="12"/>
    </row>
    <row r="103" ht="15.75" customHeight="1">
      <c r="A103" s="12"/>
      <c r="B103" s="12"/>
      <c r="C103" s="20"/>
      <c r="D103" s="20"/>
      <c r="E103" s="38"/>
      <c r="F103" s="12"/>
      <c r="G103" s="12"/>
    </row>
    <row r="104" ht="15.75" customHeight="1">
      <c r="A104" s="12"/>
      <c r="B104" s="12"/>
      <c r="C104" s="20"/>
      <c r="D104" s="20"/>
      <c r="E104" s="38"/>
      <c r="F104" s="12"/>
      <c r="G104" s="12"/>
    </row>
    <row r="105" ht="15.75" customHeight="1">
      <c r="A105" s="12"/>
      <c r="B105" s="12"/>
      <c r="C105" s="20"/>
      <c r="D105" s="20"/>
      <c r="E105" s="38"/>
      <c r="F105" s="12"/>
      <c r="G105" s="12"/>
    </row>
    <row r="106" ht="15.75" customHeight="1">
      <c r="A106" s="12"/>
      <c r="B106" s="12"/>
      <c r="C106" s="20"/>
      <c r="D106" s="20"/>
      <c r="E106" s="38"/>
      <c r="F106" s="12"/>
      <c r="G106" s="12"/>
    </row>
    <row r="107" ht="15.75" customHeight="1">
      <c r="A107" s="12"/>
      <c r="B107" s="12"/>
      <c r="C107" s="20"/>
      <c r="D107" s="20"/>
      <c r="E107" s="38"/>
      <c r="F107" s="12"/>
      <c r="G107" s="12"/>
    </row>
    <row r="108" ht="15.75" customHeight="1">
      <c r="A108" s="12"/>
      <c r="B108" s="12"/>
      <c r="C108" s="20"/>
      <c r="D108" s="20"/>
      <c r="E108" s="38"/>
      <c r="F108" s="12"/>
      <c r="G108" s="12"/>
    </row>
    <row r="109" ht="15.75" customHeight="1">
      <c r="A109" s="12"/>
      <c r="B109" s="12"/>
      <c r="C109" s="20"/>
      <c r="D109" s="20"/>
      <c r="E109" s="38"/>
      <c r="F109" s="12"/>
      <c r="G109" s="12"/>
    </row>
    <row r="110" ht="15.75" customHeight="1">
      <c r="A110" s="12"/>
      <c r="B110" s="12"/>
      <c r="C110" s="20"/>
      <c r="D110" s="20"/>
      <c r="E110" s="38"/>
      <c r="F110" s="12"/>
      <c r="G110" s="12"/>
    </row>
    <row r="111" ht="15.75" customHeight="1">
      <c r="A111" s="12"/>
      <c r="B111" s="12"/>
      <c r="C111" s="20"/>
      <c r="D111" s="20"/>
      <c r="E111" s="38"/>
      <c r="F111" s="12"/>
      <c r="G111" s="12"/>
    </row>
    <row r="112" ht="15.75" customHeight="1">
      <c r="A112" s="12"/>
      <c r="B112" s="12"/>
      <c r="C112" s="20"/>
      <c r="D112" s="20"/>
      <c r="E112" s="38"/>
      <c r="F112" s="12"/>
      <c r="G112" s="12"/>
    </row>
    <row r="113" ht="15.75" customHeight="1">
      <c r="A113" s="12"/>
      <c r="B113" s="12"/>
      <c r="C113" s="20"/>
      <c r="D113" s="20"/>
      <c r="E113" s="38"/>
      <c r="F113" s="12"/>
      <c r="G113" s="12"/>
    </row>
    <row r="114" ht="15.75" customHeight="1">
      <c r="A114" s="12"/>
      <c r="B114" s="12"/>
      <c r="C114" s="20"/>
      <c r="D114" s="20"/>
      <c r="E114" s="38"/>
      <c r="F114" s="12"/>
      <c r="G114" s="12"/>
    </row>
    <row r="115" ht="15.75" customHeight="1">
      <c r="A115" s="12"/>
      <c r="B115" s="12"/>
      <c r="C115" s="20"/>
      <c r="D115" s="20"/>
      <c r="E115" s="38"/>
      <c r="F115" s="12"/>
      <c r="G115" s="12"/>
    </row>
    <row r="116" ht="15.75" customHeight="1">
      <c r="A116" s="12"/>
      <c r="B116" s="12"/>
      <c r="C116" s="20"/>
      <c r="D116" s="20"/>
      <c r="E116" s="38"/>
      <c r="F116" s="12"/>
      <c r="G116" s="12"/>
    </row>
    <row r="117" ht="15.75" customHeight="1">
      <c r="A117" s="12"/>
      <c r="B117" s="12"/>
      <c r="C117" s="20"/>
      <c r="D117" s="20"/>
      <c r="E117" s="38"/>
      <c r="F117" s="12"/>
      <c r="G117" s="12"/>
    </row>
    <row r="118" ht="15.75" customHeight="1">
      <c r="A118" s="12"/>
      <c r="B118" s="12"/>
      <c r="C118" s="20"/>
      <c r="D118" s="20"/>
      <c r="E118" s="38"/>
      <c r="F118" s="12"/>
      <c r="G118" s="12"/>
    </row>
    <row r="119" ht="15.75" customHeight="1">
      <c r="A119" s="12"/>
      <c r="B119" s="12"/>
      <c r="C119" s="20"/>
      <c r="D119" s="20"/>
      <c r="E119" s="38"/>
      <c r="F119" s="12"/>
      <c r="G119" s="12"/>
    </row>
    <row r="120" ht="15.75" customHeight="1">
      <c r="A120" s="12"/>
      <c r="B120" s="12"/>
      <c r="C120" s="20"/>
      <c r="D120" s="20"/>
      <c r="E120" s="38"/>
      <c r="F120" s="12"/>
      <c r="G120" s="12"/>
    </row>
    <row r="121" ht="15.75" customHeight="1">
      <c r="A121" s="12"/>
      <c r="B121" s="12"/>
      <c r="C121" s="20"/>
      <c r="D121" s="20"/>
      <c r="E121" s="38"/>
      <c r="F121" s="12"/>
      <c r="G121" s="12"/>
    </row>
    <row r="122" ht="15.75" customHeight="1">
      <c r="A122" s="12"/>
      <c r="B122" s="12"/>
      <c r="C122" s="20"/>
      <c r="D122" s="20"/>
      <c r="E122" s="38"/>
      <c r="F122" s="12"/>
      <c r="G122" s="12"/>
    </row>
    <row r="123" ht="15.75" customHeight="1">
      <c r="A123" s="12"/>
      <c r="B123" s="12"/>
      <c r="C123" s="20"/>
      <c r="D123" s="20"/>
      <c r="E123" s="38"/>
      <c r="F123" s="12"/>
      <c r="G123" s="12"/>
    </row>
    <row r="124" ht="15.75" customHeight="1">
      <c r="A124" s="12"/>
      <c r="B124" s="12"/>
      <c r="C124" s="20"/>
      <c r="D124" s="20"/>
      <c r="E124" s="38"/>
      <c r="F124" s="12"/>
      <c r="G124" s="12"/>
    </row>
    <row r="125" ht="15.75" customHeight="1">
      <c r="A125" s="12"/>
      <c r="B125" s="12"/>
      <c r="C125" s="20"/>
      <c r="D125" s="20"/>
      <c r="E125" s="38"/>
      <c r="F125" s="12"/>
      <c r="G125" s="12"/>
    </row>
    <row r="126" ht="15.75" customHeight="1">
      <c r="A126" s="12"/>
      <c r="B126" s="12"/>
      <c r="C126" s="20"/>
      <c r="D126" s="20"/>
      <c r="E126" s="38"/>
      <c r="F126" s="12"/>
      <c r="G126" s="12"/>
    </row>
    <row r="127" ht="15.75" customHeight="1">
      <c r="A127" s="12"/>
      <c r="B127" s="12"/>
      <c r="C127" s="20"/>
      <c r="D127" s="20"/>
      <c r="E127" s="38"/>
      <c r="F127" s="12"/>
      <c r="G127" s="12"/>
    </row>
    <row r="128" ht="15.75" customHeight="1">
      <c r="A128" s="12"/>
      <c r="B128" s="12"/>
      <c r="C128" s="20"/>
      <c r="D128" s="20"/>
      <c r="E128" s="38"/>
      <c r="F128" s="12"/>
      <c r="G128" s="12"/>
    </row>
    <row r="129" ht="15.75" customHeight="1">
      <c r="A129" s="12"/>
      <c r="B129" s="12"/>
      <c r="C129" s="20"/>
      <c r="D129" s="20"/>
      <c r="E129" s="38"/>
      <c r="F129" s="12"/>
      <c r="G129" s="12"/>
    </row>
    <row r="130" ht="15.75" customHeight="1">
      <c r="A130" s="12"/>
      <c r="B130" s="12"/>
      <c r="C130" s="20"/>
      <c r="D130" s="20"/>
      <c r="E130" s="38"/>
      <c r="F130" s="12"/>
      <c r="G130" s="12"/>
    </row>
    <row r="131" ht="15.75" customHeight="1">
      <c r="A131" s="12"/>
      <c r="B131" s="12"/>
      <c r="C131" s="20"/>
      <c r="D131" s="20"/>
      <c r="E131" s="38"/>
      <c r="F131" s="12"/>
      <c r="G131" s="12"/>
    </row>
    <row r="132" ht="15.75" customHeight="1">
      <c r="A132" s="12"/>
      <c r="B132" s="12"/>
      <c r="C132" s="20"/>
      <c r="D132" s="20"/>
      <c r="E132" s="38"/>
      <c r="F132" s="12"/>
      <c r="G132" s="12"/>
    </row>
    <row r="133" ht="15.75" customHeight="1">
      <c r="A133" s="12"/>
      <c r="B133" s="12"/>
      <c r="C133" s="20"/>
      <c r="D133" s="20"/>
      <c r="E133" s="38"/>
      <c r="F133" s="12"/>
      <c r="G133" s="12"/>
    </row>
    <row r="134" ht="15.75" customHeight="1">
      <c r="A134" s="12"/>
      <c r="B134" s="12"/>
      <c r="C134" s="20"/>
      <c r="D134" s="20"/>
      <c r="E134" s="38"/>
      <c r="F134" s="12"/>
      <c r="G134" s="12"/>
    </row>
    <row r="135" ht="15.75" customHeight="1">
      <c r="A135" s="12"/>
      <c r="B135" s="12"/>
      <c r="C135" s="20"/>
      <c r="D135" s="20"/>
      <c r="E135" s="38"/>
      <c r="F135" s="12"/>
      <c r="G135" s="12"/>
    </row>
    <row r="136" ht="15.75" customHeight="1">
      <c r="A136" s="12"/>
      <c r="B136" s="12"/>
      <c r="C136" s="20"/>
      <c r="D136" s="20"/>
      <c r="E136" s="38"/>
      <c r="F136" s="12"/>
      <c r="G136" s="12"/>
    </row>
    <row r="137" ht="15.75" customHeight="1">
      <c r="A137" s="12"/>
      <c r="B137" s="12"/>
      <c r="C137" s="20"/>
      <c r="D137" s="20"/>
      <c r="E137" s="38"/>
      <c r="F137" s="12"/>
      <c r="G137" s="12"/>
    </row>
    <row r="138" ht="15.75" customHeight="1">
      <c r="A138" s="12"/>
      <c r="B138" s="12"/>
      <c r="C138" s="20"/>
      <c r="D138" s="20"/>
      <c r="E138" s="38"/>
      <c r="F138" s="12"/>
      <c r="G138" s="12"/>
    </row>
    <row r="139" ht="15.75" customHeight="1">
      <c r="A139" s="12"/>
      <c r="B139" s="12"/>
      <c r="C139" s="20"/>
      <c r="D139" s="20"/>
      <c r="E139" s="38"/>
      <c r="F139" s="12"/>
      <c r="G139" s="12"/>
    </row>
    <row r="140" ht="15.75" customHeight="1">
      <c r="A140" s="12"/>
      <c r="B140" s="12"/>
      <c r="C140" s="20"/>
      <c r="D140" s="20"/>
      <c r="E140" s="38"/>
      <c r="F140" s="12"/>
      <c r="G140" s="12"/>
    </row>
    <row r="141" ht="15.75" customHeight="1">
      <c r="A141" s="12"/>
      <c r="B141" s="12"/>
      <c r="C141" s="20"/>
      <c r="D141" s="20"/>
      <c r="E141" s="38"/>
      <c r="F141" s="12"/>
      <c r="G141" s="12"/>
    </row>
    <row r="142" ht="15.75" customHeight="1">
      <c r="A142" s="12"/>
      <c r="B142" s="12"/>
      <c r="C142" s="20"/>
      <c r="D142" s="20"/>
      <c r="E142" s="38"/>
      <c r="F142" s="12"/>
      <c r="G142" s="12"/>
    </row>
    <row r="143" ht="15.75" customHeight="1">
      <c r="A143" s="12"/>
      <c r="B143" s="12"/>
      <c r="C143" s="20"/>
      <c r="D143" s="20"/>
      <c r="E143" s="38"/>
      <c r="F143" s="12"/>
      <c r="G143" s="12"/>
    </row>
    <row r="144" ht="15.75" customHeight="1">
      <c r="A144" s="12"/>
      <c r="B144" s="12"/>
      <c r="C144" s="20"/>
      <c r="D144" s="20"/>
      <c r="E144" s="38"/>
      <c r="F144" s="12"/>
      <c r="G144" s="12"/>
    </row>
    <row r="145" ht="15.75" customHeight="1">
      <c r="A145" s="12"/>
      <c r="B145" s="12"/>
      <c r="C145" s="20"/>
      <c r="D145" s="20"/>
      <c r="E145" s="38"/>
      <c r="F145" s="12"/>
      <c r="G145" s="12"/>
    </row>
    <row r="146" ht="15.75" customHeight="1">
      <c r="A146" s="12"/>
      <c r="B146" s="12"/>
      <c r="C146" s="20"/>
      <c r="D146" s="20"/>
      <c r="E146" s="38"/>
      <c r="F146" s="12"/>
      <c r="G146" s="12"/>
    </row>
    <row r="147" ht="15.75" customHeight="1">
      <c r="A147" s="12"/>
      <c r="B147" s="12"/>
      <c r="C147" s="20"/>
      <c r="D147" s="20"/>
      <c r="E147" s="38"/>
      <c r="F147" s="12"/>
      <c r="G147" s="12"/>
    </row>
    <row r="148" ht="15.75" customHeight="1">
      <c r="A148" s="12"/>
      <c r="B148" s="12"/>
      <c r="C148" s="20"/>
      <c r="D148" s="20"/>
      <c r="E148" s="38"/>
      <c r="F148" s="12"/>
      <c r="G148" s="12"/>
    </row>
    <row r="149" ht="15.75" customHeight="1">
      <c r="A149" s="12"/>
      <c r="B149" s="12"/>
      <c r="C149" s="20"/>
      <c r="D149" s="20"/>
      <c r="E149" s="38"/>
      <c r="F149" s="12"/>
      <c r="G149" s="12"/>
    </row>
    <row r="150" ht="15.75" customHeight="1">
      <c r="A150" s="12"/>
      <c r="B150" s="12"/>
      <c r="C150" s="20"/>
      <c r="D150" s="20"/>
      <c r="E150" s="38"/>
      <c r="F150" s="12"/>
      <c r="G150" s="12"/>
    </row>
    <row r="151" ht="15.75" customHeight="1">
      <c r="A151" s="12"/>
      <c r="B151" s="12"/>
      <c r="C151" s="20"/>
      <c r="D151" s="20"/>
      <c r="E151" s="38"/>
      <c r="F151" s="12"/>
      <c r="G151" s="12"/>
    </row>
    <row r="152" ht="15.75" customHeight="1">
      <c r="A152" s="12"/>
      <c r="B152" s="12"/>
      <c r="C152" s="20"/>
      <c r="D152" s="20"/>
      <c r="E152" s="38"/>
      <c r="F152" s="12"/>
      <c r="G152" s="12"/>
    </row>
    <row r="153" ht="15.75" customHeight="1">
      <c r="A153" s="12"/>
      <c r="B153" s="12"/>
      <c r="C153" s="20"/>
      <c r="D153" s="20"/>
      <c r="E153" s="38"/>
      <c r="F153" s="12"/>
      <c r="G153" s="12"/>
    </row>
    <row r="154" ht="15.75" customHeight="1">
      <c r="A154" s="12"/>
      <c r="B154" s="12"/>
      <c r="C154" s="20"/>
      <c r="D154" s="20"/>
      <c r="E154" s="38"/>
      <c r="F154" s="12"/>
      <c r="G154" s="12"/>
    </row>
    <row r="155" ht="15.75" customHeight="1">
      <c r="A155" s="12"/>
      <c r="B155" s="12"/>
      <c r="C155" s="20"/>
      <c r="D155" s="20"/>
      <c r="E155" s="38"/>
      <c r="F155" s="12"/>
      <c r="G155" s="12"/>
    </row>
    <row r="156" ht="15.75" customHeight="1">
      <c r="A156" s="12"/>
      <c r="B156" s="12"/>
      <c r="C156" s="20"/>
      <c r="D156" s="20"/>
      <c r="E156" s="38"/>
      <c r="F156" s="12"/>
      <c r="G156" s="12"/>
    </row>
    <row r="157" ht="15.75" customHeight="1">
      <c r="A157" s="12"/>
      <c r="B157" s="12"/>
      <c r="C157" s="20"/>
      <c r="D157" s="20"/>
      <c r="E157" s="38"/>
      <c r="F157" s="12"/>
      <c r="G157" s="12"/>
    </row>
    <row r="158" ht="15.75" customHeight="1">
      <c r="A158" s="12"/>
      <c r="B158" s="12"/>
      <c r="C158" s="20"/>
      <c r="D158" s="20"/>
      <c r="E158" s="38"/>
      <c r="F158" s="12"/>
      <c r="G158" s="12"/>
    </row>
    <row r="159" ht="15.75" customHeight="1">
      <c r="A159" s="12"/>
      <c r="B159" s="12"/>
      <c r="C159" s="20"/>
      <c r="D159" s="20"/>
      <c r="E159" s="38"/>
      <c r="F159" s="12"/>
      <c r="G159" s="12"/>
    </row>
    <row r="160" ht="15.75" customHeight="1">
      <c r="A160" s="12"/>
      <c r="B160" s="12"/>
      <c r="C160" s="20"/>
      <c r="D160" s="20"/>
      <c r="E160" s="38"/>
      <c r="F160" s="12"/>
      <c r="G160" s="12"/>
    </row>
    <row r="161" ht="15.75" customHeight="1">
      <c r="A161" s="12"/>
      <c r="B161" s="12"/>
      <c r="C161" s="20"/>
      <c r="D161" s="20"/>
      <c r="E161" s="38"/>
      <c r="F161" s="12"/>
      <c r="G161" s="12"/>
    </row>
    <row r="162" ht="15.75" customHeight="1">
      <c r="A162" s="12"/>
      <c r="B162" s="12"/>
      <c r="C162" s="20"/>
      <c r="D162" s="20"/>
      <c r="E162" s="38"/>
      <c r="F162" s="12"/>
      <c r="G162" s="12"/>
    </row>
    <row r="163" ht="15.75" customHeight="1">
      <c r="A163" s="12"/>
      <c r="B163" s="12"/>
      <c r="C163" s="20"/>
      <c r="D163" s="20"/>
      <c r="E163" s="38"/>
      <c r="F163" s="12"/>
      <c r="G163" s="12"/>
    </row>
    <row r="164" ht="15.75" customHeight="1">
      <c r="A164" s="12"/>
      <c r="B164" s="12"/>
      <c r="C164" s="20"/>
      <c r="D164" s="20"/>
      <c r="E164" s="38"/>
      <c r="F164" s="12"/>
      <c r="G164" s="12"/>
    </row>
    <row r="165" ht="15.75" customHeight="1">
      <c r="A165" s="12"/>
      <c r="B165" s="12"/>
      <c r="C165" s="20"/>
      <c r="D165" s="20"/>
      <c r="E165" s="38"/>
      <c r="F165" s="12"/>
      <c r="G165" s="12"/>
    </row>
    <row r="166" ht="15.75" customHeight="1">
      <c r="A166" s="12"/>
      <c r="B166" s="12"/>
      <c r="C166" s="20"/>
      <c r="D166" s="20"/>
      <c r="E166" s="38"/>
      <c r="F166" s="12"/>
      <c r="G166" s="12"/>
    </row>
    <row r="167" ht="15.75" customHeight="1">
      <c r="A167" s="12"/>
      <c r="B167" s="12"/>
      <c r="C167" s="20"/>
      <c r="D167" s="20"/>
      <c r="E167" s="38"/>
      <c r="F167" s="12"/>
      <c r="G167" s="12"/>
    </row>
    <row r="168" ht="15.75" customHeight="1">
      <c r="A168" s="12"/>
      <c r="B168" s="12"/>
      <c r="C168" s="20"/>
      <c r="D168" s="20"/>
      <c r="E168" s="38"/>
      <c r="F168" s="12"/>
      <c r="G168" s="12"/>
    </row>
    <row r="169" ht="15.75" customHeight="1">
      <c r="A169" s="12"/>
      <c r="B169" s="12"/>
      <c r="C169" s="20"/>
      <c r="D169" s="20"/>
      <c r="E169" s="38"/>
      <c r="F169" s="12"/>
      <c r="G169" s="12"/>
    </row>
    <row r="170" ht="15.75" customHeight="1">
      <c r="A170" s="12"/>
      <c r="B170" s="12"/>
      <c r="C170" s="20"/>
      <c r="D170" s="20"/>
      <c r="E170" s="38"/>
      <c r="F170" s="12"/>
      <c r="G170" s="12"/>
    </row>
    <row r="171" ht="15.75" customHeight="1">
      <c r="A171" s="12"/>
      <c r="B171" s="12"/>
      <c r="C171" s="20"/>
      <c r="D171" s="20"/>
      <c r="E171" s="38"/>
      <c r="F171" s="12"/>
      <c r="G171" s="12"/>
    </row>
    <row r="172" ht="15.75" customHeight="1">
      <c r="A172" s="12"/>
      <c r="B172" s="12"/>
      <c r="C172" s="20"/>
      <c r="D172" s="20"/>
      <c r="E172" s="38"/>
      <c r="F172" s="12"/>
      <c r="G172" s="12"/>
    </row>
    <row r="173" ht="15.75" customHeight="1">
      <c r="A173" s="12"/>
      <c r="B173" s="12"/>
      <c r="C173" s="20"/>
      <c r="D173" s="20"/>
      <c r="E173" s="38"/>
      <c r="F173" s="12"/>
      <c r="G173" s="12"/>
    </row>
    <row r="174" ht="15.75" customHeight="1">
      <c r="A174" s="12"/>
      <c r="B174" s="12"/>
      <c r="C174" s="20"/>
      <c r="D174" s="20"/>
      <c r="E174" s="38"/>
      <c r="F174" s="12"/>
      <c r="G174" s="12"/>
    </row>
    <row r="175" ht="15.75" customHeight="1">
      <c r="A175" s="12"/>
      <c r="B175" s="12"/>
      <c r="C175" s="20"/>
      <c r="D175" s="20"/>
      <c r="E175" s="38"/>
      <c r="F175" s="12"/>
      <c r="G175" s="12"/>
    </row>
    <row r="176" ht="15.75" customHeight="1">
      <c r="A176" s="12"/>
      <c r="B176" s="12"/>
      <c r="C176" s="20"/>
      <c r="D176" s="20"/>
      <c r="E176" s="38"/>
      <c r="F176" s="12"/>
      <c r="G176" s="12"/>
    </row>
    <row r="177" ht="15.75" customHeight="1">
      <c r="A177" s="12"/>
      <c r="B177" s="12"/>
      <c r="C177" s="20"/>
      <c r="D177" s="20"/>
      <c r="E177" s="38"/>
      <c r="F177" s="12"/>
      <c r="G177" s="12"/>
    </row>
    <row r="178" ht="15.75" customHeight="1">
      <c r="A178" s="12"/>
      <c r="B178" s="12"/>
      <c r="C178" s="20"/>
      <c r="D178" s="20"/>
      <c r="E178" s="38"/>
      <c r="F178" s="12"/>
      <c r="G178" s="12"/>
    </row>
    <row r="179" ht="15.75" customHeight="1">
      <c r="A179" s="12"/>
      <c r="B179" s="12"/>
      <c r="C179" s="20"/>
      <c r="D179" s="20"/>
      <c r="E179" s="38"/>
      <c r="F179" s="12"/>
      <c r="G179" s="12"/>
    </row>
    <row r="180" ht="15.75" customHeight="1">
      <c r="A180" s="12"/>
      <c r="B180" s="12"/>
      <c r="C180" s="20"/>
      <c r="D180" s="20"/>
      <c r="E180" s="38"/>
      <c r="F180" s="12"/>
      <c r="G180" s="12"/>
    </row>
    <row r="181" ht="15.75" customHeight="1">
      <c r="A181" s="12"/>
      <c r="B181" s="12"/>
      <c r="C181" s="20"/>
      <c r="D181" s="20"/>
      <c r="E181" s="38"/>
      <c r="F181" s="12"/>
      <c r="G181" s="12"/>
    </row>
    <row r="182" ht="15.75" customHeight="1">
      <c r="A182" s="12"/>
      <c r="B182" s="12"/>
      <c r="C182" s="20"/>
      <c r="D182" s="20"/>
      <c r="E182" s="38"/>
      <c r="F182" s="12"/>
      <c r="G182" s="12"/>
    </row>
    <row r="183" ht="15.75" customHeight="1">
      <c r="A183" s="12"/>
      <c r="B183" s="12"/>
      <c r="C183" s="20"/>
      <c r="D183" s="20"/>
      <c r="E183" s="38"/>
      <c r="F183" s="12"/>
      <c r="G183" s="12"/>
    </row>
    <row r="184" ht="15.75" customHeight="1">
      <c r="A184" s="12"/>
      <c r="B184" s="12"/>
      <c r="C184" s="20"/>
      <c r="D184" s="20"/>
      <c r="E184" s="38"/>
      <c r="F184" s="12"/>
      <c r="G184" s="12"/>
    </row>
    <row r="185" ht="15.75" customHeight="1">
      <c r="A185" s="12"/>
      <c r="B185" s="12"/>
      <c r="C185" s="20"/>
      <c r="D185" s="20"/>
      <c r="E185" s="38"/>
      <c r="F185" s="12"/>
      <c r="G185" s="12"/>
    </row>
    <row r="186" ht="15.75" customHeight="1">
      <c r="A186" s="12"/>
      <c r="B186" s="12"/>
      <c r="C186" s="20"/>
      <c r="D186" s="20"/>
      <c r="E186" s="38"/>
      <c r="F186" s="12"/>
      <c r="G186" s="12"/>
    </row>
    <row r="187" ht="15.75" customHeight="1">
      <c r="A187" s="12"/>
      <c r="B187" s="12"/>
      <c r="C187" s="20"/>
      <c r="D187" s="20"/>
      <c r="E187" s="38"/>
      <c r="F187" s="12"/>
      <c r="G187" s="12"/>
    </row>
    <row r="188" ht="15.75" customHeight="1">
      <c r="A188" s="12"/>
      <c r="B188" s="12"/>
      <c r="C188" s="20"/>
      <c r="D188" s="20"/>
      <c r="E188" s="38"/>
      <c r="F188" s="12"/>
      <c r="G188" s="12"/>
    </row>
    <row r="189" ht="15.75" customHeight="1">
      <c r="A189" s="12"/>
      <c r="B189" s="12"/>
      <c r="C189" s="20"/>
      <c r="D189" s="20"/>
      <c r="E189" s="38"/>
      <c r="F189" s="12"/>
      <c r="G189" s="12"/>
    </row>
    <row r="190" ht="15.75" customHeight="1">
      <c r="A190" s="12"/>
      <c r="B190" s="12"/>
      <c r="C190" s="20"/>
      <c r="D190" s="20"/>
      <c r="E190" s="38"/>
      <c r="F190" s="12"/>
      <c r="G190" s="12"/>
    </row>
    <row r="191" ht="15.75" customHeight="1">
      <c r="A191" s="12"/>
      <c r="B191" s="12"/>
      <c r="C191" s="20"/>
      <c r="D191" s="20"/>
      <c r="E191" s="38"/>
      <c r="F191" s="12"/>
      <c r="G191" s="12"/>
    </row>
    <row r="192" ht="15.75" customHeight="1">
      <c r="A192" s="12"/>
      <c r="B192" s="12"/>
      <c r="C192" s="20"/>
      <c r="D192" s="20"/>
      <c r="E192" s="38"/>
      <c r="F192" s="12"/>
      <c r="G192" s="12"/>
    </row>
    <row r="193" ht="15.75" customHeight="1">
      <c r="A193" s="12"/>
      <c r="B193" s="12"/>
      <c r="C193" s="20"/>
      <c r="D193" s="20"/>
      <c r="E193" s="38"/>
      <c r="F193" s="12"/>
      <c r="G193" s="12"/>
    </row>
    <row r="194" ht="15.75" customHeight="1">
      <c r="A194" s="12"/>
      <c r="B194" s="12"/>
      <c r="C194" s="20"/>
      <c r="D194" s="20"/>
      <c r="E194" s="38"/>
      <c r="F194" s="12"/>
      <c r="G194" s="12"/>
    </row>
    <row r="195" ht="15.75" customHeight="1">
      <c r="A195" s="12"/>
      <c r="B195" s="12"/>
      <c r="C195" s="20"/>
      <c r="D195" s="20"/>
      <c r="E195" s="38"/>
      <c r="F195" s="12"/>
      <c r="G195" s="12"/>
    </row>
    <row r="196" ht="15.75" customHeight="1">
      <c r="A196" s="12"/>
      <c r="B196" s="12"/>
      <c r="C196" s="20"/>
      <c r="D196" s="20"/>
      <c r="E196" s="38"/>
      <c r="F196" s="12"/>
      <c r="G196" s="12"/>
    </row>
    <row r="197" ht="15.75" customHeight="1">
      <c r="A197" s="12"/>
      <c r="B197" s="12"/>
      <c r="C197" s="20"/>
      <c r="D197" s="20"/>
      <c r="E197" s="38"/>
      <c r="F197" s="12"/>
      <c r="G197" s="12"/>
    </row>
    <row r="198" ht="15.75" customHeight="1">
      <c r="E198" s="39"/>
    </row>
    <row r="199" ht="15.75" customHeight="1">
      <c r="E199" s="39"/>
    </row>
    <row r="200" ht="15.75" customHeight="1">
      <c r="E200" s="39"/>
    </row>
    <row r="201" ht="15.75" customHeight="1">
      <c r="E201" s="39"/>
    </row>
    <row r="202" ht="15.75" customHeight="1">
      <c r="E202" s="39"/>
    </row>
    <row r="203" ht="15.75" customHeight="1">
      <c r="E203" s="39"/>
    </row>
    <row r="204" ht="15.75" customHeight="1">
      <c r="E204" s="39"/>
    </row>
    <row r="205" ht="15.75" customHeight="1">
      <c r="E205" s="39"/>
    </row>
    <row r="206" ht="15.75" customHeight="1">
      <c r="E206" s="39"/>
    </row>
    <row r="207" ht="15.75" customHeight="1">
      <c r="E207" s="39"/>
    </row>
    <row r="208" ht="15.75" customHeight="1">
      <c r="E208" s="39"/>
    </row>
    <row r="209" ht="15.75" customHeight="1">
      <c r="E209" s="39"/>
    </row>
    <row r="210" ht="15.75" customHeight="1">
      <c r="E210" s="39"/>
    </row>
    <row r="211" ht="15.75" customHeight="1">
      <c r="E211" s="39"/>
    </row>
    <row r="212" ht="15.75" customHeight="1">
      <c r="E212" s="39"/>
    </row>
    <row r="213" ht="15.75" customHeight="1">
      <c r="E213" s="39"/>
    </row>
    <row r="214" ht="15.75" customHeight="1">
      <c r="E214" s="39"/>
    </row>
    <row r="215" ht="15.75" customHeight="1">
      <c r="E215" s="39"/>
    </row>
    <row r="216" ht="15.75" customHeight="1">
      <c r="E216" s="39"/>
    </row>
    <row r="217" ht="15.75" customHeight="1">
      <c r="E217" s="39"/>
    </row>
    <row r="218" ht="15.75" customHeight="1">
      <c r="E218" s="39"/>
    </row>
    <row r="219" ht="15.75" customHeight="1">
      <c r="E219" s="39"/>
    </row>
    <row r="220" ht="15.75" customHeight="1">
      <c r="E220" s="39"/>
    </row>
    <row r="221" ht="15.75" customHeight="1">
      <c r="E221" s="39"/>
    </row>
    <row r="222" ht="15.75" customHeight="1">
      <c r="E222" s="39"/>
    </row>
    <row r="223" ht="15.75" customHeight="1">
      <c r="E223" s="39"/>
    </row>
    <row r="224" ht="15.75" customHeight="1">
      <c r="E224" s="39"/>
    </row>
    <row r="225" ht="15.75" customHeight="1">
      <c r="E225" s="39"/>
    </row>
    <row r="226" ht="15.75" customHeight="1">
      <c r="E226" s="39"/>
    </row>
    <row r="227" ht="15.75" customHeight="1">
      <c r="E227" s="39"/>
    </row>
    <row r="228" ht="15.75" customHeight="1">
      <c r="E228" s="39"/>
    </row>
    <row r="229" ht="15.75" customHeight="1">
      <c r="E229" s="39"/>
    </row>
    <row r="230" ht="15.75" customHeight="1">
      <c r="E230" s="39"/>
    </row>
    <row r="231" ht="15.75" customHeight="1">
      <c r="E231" s="39"/>
    </row>
    <row r="232" ht="15.75" customHeight="1">
      <c r="E232" s="39"/>
    </row>
    <row r="233" ht="15.75" customHeight="1">
      <c r="E233" s="39"/>
    </row>
    <row r="234" ht="15.75" customHeight="1">
      <c r="E234" s="39"/>
    </row>
    <row r="235" ht="15.75" customHeight="1">
      <c r="E235" s="39"/>
    </row>
    <row r="236" ht="15.75" customHeight="1">
      <c r="E236" s="39"/>
    </row>
    <row r="237" ht="15.75" customHeight="1">
      <c r="E237" s="39"/>
    </row>
    <row r="238" ht="15.75" customHeight="1">
      <c r="E238" s="39"/>
    </row>
    <row r="239" ht="15.75" customHeight="1">
      <c r="E239" s="39"/>
    </row>
    <row r="240" ht="15.75" customHeight="1">
      <c r="E240" s="39"/>
    </row>
    <row r="241" ht="15.75" customHeight="1">
      <c r="E241" s="39"/>
    </row>
    <row r="242" ht="15.75" customHeight="1">
      <c r="E242" s="39"/>
    </row>
    <row r="243" ht="15.75" customHeight="1">
      <c r="E243" s="39"/>
    </row>
    <row r="244" ht="15.75" customHeight="1">
      <c r="E244" s="39"/>
    </row>
    <row r="245" ht="15.75" customHeight="1">
      <c r="E245" s="39"/>
    </row>
    <row r="246" ht="15.75" customHeight="1">
      <c r="E246" s="39"/>
    </row>
    <row r="247" ht="15.75" customHeight="1">
      <c r="E247" s="39"/>
    </row>
    <row r="248" ht="15.75" customHeight="1">
      <c r="E248" s="39"/>
    </row>
    <row r="249" ht="15.75" customHeight="1">
      <c r="E249" s="39"/>
    </row>
    <row r="250" ht="15.75" customHeight="1">
      <c r="E250" s="39"/>
    </row>
    <row r="251" ht="15.75" customHeight="1">
      <c r="E251" s="39"/>
    </row>
    <row r="252" ht="15.75" customHeight="1">
      <c r="E252" s="39"/>
    </row>
    <row r="253" ht="15.75" customHeight="1">
      <c r="E253" s="39"/>
    </row>
    <row r="254" ht="15.75" customHeight="1">
      <c r="E254" s="39"/>
    </row>
    <row r="255" ht="15.75" customHeight="1">
      <c r="E255" s="39"/>
    </row>
    <row r="256" ht="15.75" customHeight="1">
      <c r="E256" s="39"/>
    </row>
    <row r="257" ht="15.75" customHeight="1">
      <c r="E257" s="39"/>
    </row>
    <row r="258" ht="15.75" customHeight="1">
      <c r="E258" s="39"/>
    </row>
    <row r="259" ht="15.75" customHeight="1">
      <c r="E259" s="39"/>
    </row>
    <row r="260" ht="15.75" customHeight="1">
      <c r="E260" s="39"/>
    </row>
    <row r="261" ht="15.75" customHeight="1">
      <c r="E261" s="39"/>
    </row>
    <row r="262" ht="15.75" customHeight="1">
      <c r="E262" s="39"/>
    </row>
    <row r="263" ht="15.75" customHeight="1">
      <c r="E263" s="39"/>
    </row>
    <row r="264" ht="15.75" customHeight="1">
      <c r="E264" s="39"/>
    </row>
    <row r="265" ht="15.75" customHeight="1">
      <c r="E265" s="39"/>
    </row>
    <row r="266" ht="15.75" customHeight="1">
      <c r="E266" s="39"/>
    </row>
    <row r="267" ht="15.75" customHeight="1">
      <c r="E267" s="39"/>
    </row>
    <row r="268" ht="15.75" customHeight="1">
      <c r="E268" s="39"/>
    </row>
    <row r="269" ht="15.75" customHeight="1">
      <c r="E269" s="39"/>
    </row>
    <row r="270" ht="15.75" customHeight="1">
      <c r="E270" s="39"/>
    </row>
    <row r="271" ht="15.75" customHeight="1">
      <c r="E271" s="39"/>
    </row>
    <row r="272" ht="15.75" customHeight="1">
      <c r="E272" s="39"/>
    </row>
    <row r="273" ht="15.75" customHeight="1">
      <c r="E273" s="39"/>
    </row>
    <row r="274" ht="15.75" customHeight="1">
      <c r="E274" s="39"/>
    </row>
    <row r="275" ht="15.75" customHeight="1">
      <c r="E275" s="39"/>
    </row>
    <row r="276" ht="15.75" customHeight="1">
      <c r="E276" s="39"/>
    </row>
    <row r="277" ht="15.75" customHeight="1">
      <c r="E277" s="39"/>
    </row>
    <row r="278" ht="15.75" customHeight="1">
      <c r="E278" s="39"/>
    </row>
    <row r="279" ht="15.75" customHeight="1">
      <c r="E279" s="39"/>
    </row>
    <row r="280" ht="15.75" customHeight="1">
      <c r="E280" s="39"/>
    </row>
    <row r="281" ht="15.75" customHeight="1">
      <c r="E281" s="39"/>
    </row>
    <row r="282" ht="15.75" customHeight="1">
      <c r="E282" s="39"/>
    </row>
    <row r="283" ht="15.75" customHeight="1">
      <c r="E283" s="39"/>
    </row>
    <row r="284" ht="15.75" customHeight="1">
      <c r="E284" s="39"/>
    </row>
    <row r="285" ht="15.75" customHeight="1">
      <c r="E285" s="39"/>
    </row>
    <row r="286" ht="15.75" customHeight="1">
      <c r="E286" s="39"/>
    </row>
    <row r="287" ht="15.75" customHeight="1">
      <c r="E287" s="39"/>
    </row>
    <row r="288" ht="15.75" customHeight="1">
      <c r="E288" s="39"/>
    </row>
    <row r="289" ht="15.75" customHeight="1">
      <c r="E289" s="39"/>
    </row>
    <row r="290" ht="15.75" customHeight="1">
      <c r="E290" s="39"/>
    </row>
    <row r="291" ht="15.75" customHeight="1">
      <c r="E291" s="39"/>
    </row>
    <row r="292" ht="15.75" customHeight="1">
      <c r="E292" s="39"/>
    </row>
    <row r="293" ht="15.75" customHeight="1">
      <c r="E293" s="39"/>
    </row>
    <row r="294" ht="15.75" customHeight="1">
      <c r="E294" s="39"/>
    </row>
    <row r="295" ht="15.75" customHeight="1">
      <c r="E295" s="39"/>
    </row>
    <row r="296" ht="15.75" customHeight="1">
      <c r="E296" s="39"/>
    </row>
    <row r="297" ht="15.75" customHeight="1">
      <c r="E297" s="39"/>
    </row>
    <row r="298" ht="15.75" customHeight="1">
      <c r="E298" s="39"/>
    </row>
    <row r="299" ht="15.75" customHeight="1">
      <c r="E299" s="39"/>
    </row>
    <row r="300" ht="15.75" customHeight="1">
      <c r="E300" s="39"/>
    </row>
    <row r="301" ht="15.75" customHeight="1">
      <c r="E301" s="39"/>
    </row>
    <row r="302" ht="15.75" customHeight="1">
      <c r="E302" s="39"/>
    </row>
    <row r="303" ht="15.75" customHeight="1">
      <c r="E303" s="39"/>
    </row>
    <row r="304" ht="15.75" customHeight="1">
      <c r="E304" s="39"/>
    </row>
    <row r="305" ht="15.75" customHeight="1">
      <c r="E305" s="39"/>
    </row>
    <row r="306" ht="15.75" customHeight="1">
      <c r="E306" s="39"/>
    </row>
    <row r="307" ht="15.75" customHeight="1">
      <c r="E307" s="39"/>
    </row>
    <row r="308" ht="15.75" customHeight="1">
      <c r="E308" s="39"/>
    </row>
    <row r="309" ht="15.75" customHeight="1">
      <c r="E309" s="39"/>
    </row>
    <row r="310" ht="15.75" customHeight="1">
      <c r="E310" s="39"/>
    </row>
    <row r="311" ht="15.75" customHeight="1">
      <c r="E311" s="39"/>
    </row>
    <row r="312" ht="15.75" customHeight="1">
      <c r="E312" s="39"/>
    </row>
    <row r="313" ht="15.75" customHeight="1">
      <c r="E313" s="39"/>
    </row>
    <row r="314" ht="15.75" customHeight="1">
      <c r="E314" s="39"/>
    </row>
    <row r="315" ht="15.75" customHeight="1">
      <c r="E315" s="39"/>
    </row>
    <row r="316" ht="15.75" customHeight="1">
      <c r="E316" s="39"/>
    </row>
    <row r="317" ht="15.75" customHeight="1">
      <c r="E317" s="39"/>
    </row>
    <row r="318" ht="15.75" customHeight="1">
      <c r="E318" s="39"/>
    </row>
    <row r="319" ht="15.75" customHeight="1">
      <c r="E319" s="39"/>
    </row>
    <row r="320" ht="15.75" customHeight="1">
      <c r="E320" s="39"/>
    </row>
    <row r="321" ht="15.75" customHeight="1">
      <c r="E321" s="39"/>
    </row>
    <row r="322" ht="15.75" customHeight="1">
      <c r="E322" s="39"/>
    </row>
    <row r="323" ht="15.75" customHeight="1">
      <c r="E323" s="39"/>
    </row>
    <row r="324" ht="15.75" customHeight="1">
      <c r="E324" s="39"/>
    </row>
    <row r="325" ht="15.75" customHeight="1">
      <c r="E325" s="39"/>
    </row>
    <row r="326" ht="15.75" customHeight="1">
      <c r="E326" s="39"/>
    </row>
    <row r="327" ht="15.75" customHeight="1">
      <c r="E327" s="39"/>
    </row>
    <row r="328" ht="15.75" customHeight="1">
      <c r="E328" s="39"/>
    </row>
    <row r="329" ht="15.75" customHeight="1">
      <c r="E329" s="39"/>
    </row>
    <row r="330" ht="15.75" customHeight="1">
      <c r="E330" s="39"/>
    </row>
    <row r="331" ht="15.75" customHeight="1">
      <c r="E331" s="39"/>
    </row>
    <row r="332" ht="15.75" customHeight="1">
      <c r="E332" s="39"/>
    </row>
    <row r="333" ht="15.75" customHeight="1">
      <c r="E333" s="39"/>
    </row>
    <row r="334" ht="15.75" customHeight="1">
      <c r="E334" s="39"/>
    </row>
    <row r="335" ht="15.75" customHeight="1">
      <c r="E335" s="39"/>
    </row>
    <row r="336" ht="15.75" customHeight="1">
      <c r="E336" s="39"/>
    </row>
    <row r="337" ht="15.75" customHeight="1">
      <c r="E337" s="39"/>
    </row>
    <row r="338" ht="15.75" customHeight="1">
      <c r="E338" s="39"/>
    </row>
    <row r="339" ht="15.75" customHeight="1">
      <c r="E339" s="39"/>
    </row>
    <row r="340" ht="15.75" customHeight="1">
      <c r="E340" s="39"/>
    </row>
    <row r="341" ht="15.75" customHeight="1">
      <c r="E341" s="39"/>
    </row>
    <row r="342" ht="15.75" customHeight="1">
      <c r="E342" s="39"/>
    </row>
    <row r="343" ht="15.75" customHeight="1">
      <c r="E343" s="39"/>
    </row>
    <row r="344" ht="15.75" customHeight="1">
      <c r="E344" s="39"/>
    </row>
    <row r="345" ht="15.75" customHeight="1">
      <c r="E345" s="39"/>
    </row>
    <row r="346" ht="15.75" customHeight="1">
      <c r="E346" s="39"/>
    </row>
    <row r="347" ht="15.75" customHeight="1">
      <c r="E347" s="39"/>
    </row>
    <row r="348" ht="15.75" customHeight="1">
      <c r="E348" s="39"/>
    </row>
    <row r="349" ht="15.75" customHeight="1">
      <c r="E349" s="39"/>
    </row>
    <row r="350" ht="15.75" customHeight="1">
      <c r="E350" s="39"/>
    </row>
    <row r="351" ht="15.75" customHeight="1">
      <c r="E351" s="39"/>
    </row>
    <row r="352" ht="15.75" customHeight="1">
      <c r="E352" s="39"/>
    </row>
    <row r="353" ht="15.75" customHeight="1">
      <c r="E353" s="39"/>
    </row>
    <row r="354" ht="15.75" customHeight="1">
      <c r="E354" s="39"/>
    </row>
    <row r="355" ht="15.75" customHeight="1">
      <c r="E355" s="39"/>
    </row>
    <row r="356" ht="15.75" customHeight="1">
      <c r="E356" s="39"/>
    </row>
    <row r="357" ht="15.75" customHeight="1">
      <c r="E357" s="39"/>
    </row>
    <row r="358" ht="15.75" customHeight="1">
      <c r="E358" s="39"/>
    </row>
    <row r="359" ht="15.75" customHeight="1">
      <c r="E359" s="39"/>
    </row>
    <row r="360" ht="15.75" customHeight="1">
      <c r="E360" s="39"/>
    </row>
    <row r="361" ht="15.75" customHeight="1">
      <c r="E361" s="39"/>
    </row>
    <row r="362" ht="15.75" customHeight="1">
      <c r="E362" s="39"/>
    </row>
    <row r="363" ht="15.75" customHeight="1">
      <c r="E363" s="39"/>
    </row>
    <row r="364" ht="15.75" customHeight="1">
      <c r="E364" s="39"/>
    </row>
    <row r="365" ht="15.75" customHeight="1">
      <c r="E365" s="39"/>
    </row>
    <row r="366" ht="15.75" customHeight="1">
      <c r="E366" s="39"/>
    </row>
    <row r="367" ht="15.75" customHeight="1">
      <c r="E367" s="39"/>
    </row>
    <row r="368" ht="15.75" customHeight="1">
      <c r="E368" s="39"/>
    </row>
    <row r="369" ht="15.75" customHeight="1">
      <c r="E369" s="39"/>
    </row>
    <row r="370" ht="15.75" customHeight="1">
      <c r="E370" s="39"/>
    </row>
    <row r="371" ht="15.75" customHeight="1">
      <c r="E371" s="39"/>
    </row>
    <row r="372" ht="15.75" customHeight="1">
      <c r="E372" s="39"/>
    </row>
    <row r="373" ht="15.75" customHeight="1">
      <c r="E373" s="39"/>
    </row>
    <row r="374" ht="15.75" customHeight="1">
      <c r="E374" s="39"/>
    </row>
    <row r="375" ht="15.75" customHeight="1">
      <c r="E375" s="39"/>
    </row>
    <row r="376" ht="15.75" customHeight="1">
      <c r="E376" s="39"/>
    </row>
    <row r="377" ht="15.75" customHeight="1">
      <c r="E377" s="39"/>
    </row>
    <row r="378" ht="15.75" customHeight="1">
      <c r="E378" s="39"/>
    </row>
    <row r="379" ht="15.75" customHeight="1">
      <c r="E379" s="39"/>
    </row>
    <row r="380" ht="15.75" customHeight="1">
      <c r="E380" s="39"/>
    </row>
    <row r="381" ht="15.75" customHeight="1">
      <c r="E381" s="39"/>
    </row>
    <row r="382" ht="15.75" customHeight="1">
      <c r="E382" s="39"/>
    </row>
    <row r="383" ht="15.75" customHeight="1">
      <c r="E383" s="39"/>
    </row>
    <row r="384" ht="15.75" customHeight="1">
      <c r="E384" s="39"/>
    </row>
    <row r="385" ht="15.75" customHeight="1">
      <c r="E385" s="39"/>
    </row>
    <row r="386" ht="15.75" customHeight="1">
      <c r="E386" s="39"/>
    </row>
    <row r="387" ht="15.75" customHeight="1">
      <c r="E387" s="39"/>
    </row>
    <row r="388" ht="15.75" customHeight="1">
      <c r="E388" s="39"/>
    </row>
    <row r="389" ht="15.75" customHeight="1">
      <c r="E389" s="39"/>
    </row>
    <row r="390" ht="15.75" customHeight="1">
      <c r="E390" s="39"/>
    </row>
    <row r="391" ht="15.75" customHeight="1">
      <c r="E391" s="39"/>
    </row>
    <row r="392" ht="15.75" customHeight="1">
      <c r="E392" s="39"/>
    </row>
    <row r="393" ht="15.75" customHeight="1">
      <c r="E393" s="39"/>
    </row>
    <row r="394" ht="15.75" customHeight="1">
      <c r="E394" s="39"/>
    </row>
    <row r="395" ht="15.75" customHeight="1">
      <c r="E395" s="39"/>
    </row>
    <row r="396" ht="15.75" customHeight="1">
      <c r="E396" s="39"/>
    </row>
    <row r="397" ht="15.75" customHeight="1">
      <c r="E397" s="39"/>
    </row>
    <row r="398" ht="15.75" customHeight="1">
      <c r="E398" s="39"/>
    </row>
    <row r="399" ht="15.75" customHeight="1">
      <c r="E399" s="39"/>
    </row>
    <row r="400" ht="15.75" customHeight="1">
      <c r="E400" s="39"/>
    </row>
    <row r="401" ht="15.75" customHeight="1">
      <c r="E401" s="39"/>
    </row>
    <row r="402" ht="15.75" customHeight="1">
      <c r="E402" s="39"/>
    </row>
    <row r="403" ht="15.75" customHeight="1">
      <c r="E403" s="39"/>
    </row>
    <row r="404" ht="15.75" customHeight="1">
      <c r="E404" s="39"/>
    </row>
    <row r="405" ht="15.75" customHeight="1">
      <c r="E405" s="39"/>
    </row>
    <row r="406" ht="15.75" customHeight="1">
      <c r="E406" s="39"/>
    </row>
    <row r="407" ht="15.75" customHeight="1">
      <c r="E407" s="39"/>
    </row>
    <row r="408" ht="15.75" customHeight="1">
      <c r="E408" s="39"/>
    </row>
    <row r="409" ht="15.75" customHeight="1">
      <c r="E409" s="39"/>
    </row>
    <row r="410" ht="15.75" customHeight="1">
      <c r="E410" s="39"/>
    </row>
    <row r="411" ht="15.75" customHeight="1">
      <c r="E411" s="39"/>
    </row>
    <row r="412" ht="15.75" customHeight="1">
      <c r="E412" s="39"/>
    </row>
    <row r="413" ht="15.75" customHeight="1">
      <c r="E413" s="39"/>
    </row>
    <row r="414" ht="15.75" customHeight="1">
      <c r="E414" s="39"/>
    </row>
    <row r="415" ht="15.75" customHeight="1">
      <c r="E415" s="39"/>
    </row>
    <row r="416" ht="15.75" customHeight="1">
      <c r="E416" s="39"/>
    </row>
    <row r="417" ht="15.75" customHeight="1">
      <c r="E417" s="39"/>
    </row>
    <row r="418" ht="15.75" customHeight="1">
      <c r="E418" s="39"/>
    </row>
    <row r="419" ht="15.75" customHeight="1">
      <c r="E419" s="39"/>
    </row>
    <row r="420" ht="15.75" customHeight="1">
      <c r="E420" s="39"/>
    </row>
    <row r="421" ht="15.75" customHeight="1">
      <c r="E421" s="39"/>
    </row>
    <row r="422" ht="15.75" customHeight="1">
      <c r="E422" s="39"/>
    </row>
    <row r="423" ht="15.75" customHeight="1">
      <c r="E423" s="39"/>
    </row>
    <row r="424" ht="15.75" customHeight="1">
      <c r="E424" s="39"/>
    </row>
    <row r="425" ht="15.75" customHeight="1">
      <c r="E425" s="39"/>
    </row>
    <row r="426" ht="15.75" customHeight="1">
      <c r="E426" s="39"/>
    </row>
    <row r="427" ht="15.75" customHeight="1">
      <c r="E427" s="39"/>
    </row>
    <row r="428" ht="15.75" customHeight="1">
      <c r="E428" s="39"/>
    </row>
    <row r="429" ht="15.75" customHeight="1">
      <c r="E429" s="39"/>
    </row>
    <row r="430" ht="15.75" customHeight="1">
      <c r="E430" s="39"/>
    </row>
    <row r="431" ht="15.75" customHeight="1">
      <c r="E431" s="39"/>
    </row>
    <row r="432" ht="15.75" customHeight="1">
      <c r="E432" s="39"/>
    </row>
    <row r="433" ht="15.75" customHeight="1">
      <c r="E433" s="39"/>
    </row>
    <row r="434" ht="15.75" customHeight="1">
      <c r="E434" s="39"/>
    </row>
    <row r="435" ht="15.75" customHeight="1">
      <c r="E435" s="39"/>
    </row>
    <row r="436" ht="15.75" customHeight="1">
      <c r="E436" s="39"/>
    </row>
    <row r="437" ht="15.75" customHeight="1">
      <c r="E437" s="39"/>
    </row>
    <row r="438" ht="15.75" customHeight="1">
      <c r="E438" s="39"/>
    </row>
    <row r="439" ht="15.75" customHeight="1">
      <c r="E439" s="39"/>
    </row>
    <row r="440" ht="15.75" customHeight="1">
      <c r="E440" s="39"/>
    </row>
    <row r="441" ht="15.75" customHeight="1">
      <c r="E441" s="39"/>
    </row>
    <row r="442" ht="15.75" customHeight="1">
      <c r="E442" s="39"/>
    </row>
    <row r="443" ht="15.75" customHeight="1">
      <c r="E443" s="39"/>
    </row>
    <row r="444" ht="15.75" customHeight="1">
      <c r="E444" s="39"/>
    </row>
    <row r="445" ht="15.75" customHeight="1">
      <c r="E445" s="39"/>
    </row>
    <row r="446" ht="15.75" customHeight="1">
      <c r="E446" s="39"/>
    </row>
    <row r="447" ht="15.75" customHeight="1">
      <c r="E447" s="39"/>
    </row>
    <row r="448" ht="15.75" customHeight="1">
      <c r="E448" s="39"/>
    </row>
    <row r="449" ht="15.75" customHeight="1">
      <c r="E449" s="39"/>
    </row>
    <row r="450" ht="15.75" customHeight="1">
      <c r="E450" s="39"/>
    </row>
    <row r="451" ht="15.75" customHeight="1">
      <c r="E451" s="39"/>
    </row>
    <row r="452" ht="15.75" customHeight="1">
      <c r="E452" s="39"/>
    </row>
    <row r="453" ht="15.75" customHeight="1">
      <c r="E453" s="39"/>
    </row>
    <row r="454" ht="15.75" customHeight="1">
      <c r="E454" s="39"/>
    </row>
    <row r="455" ht="15.75" customHeight="1">
      <c r="E455" s="39"/>
    </row>
    <row r="456" ht="15.75" customHeight="1">
      <c r="E456" s="39"/>
    </row>
    <row r="457" ht="15.75" customHeight="1">
      <c r="E457" s="39"/>
    </row>
    <row r="458" ht="15.75" customHeight="1">
      <c r="E458" s="39"/>
    </row>
    <row r="459" ht="15.75" customHeight="1">
      <c r="E459" s="39"/>
    </row>
    <row r="460" ht="15.75" customHeight="1">
      <c r="E460" s="39"/>
    </row>
    <row r="461" ht="15.75" customHeight="1">
      <c r="E461" s="39"/>
    </row>
    <row r="462" ht="15.75" customHeight="1">
      <c r="E462" s="39"/>
    </row>
    <row r="463" ht="15.75" customHeight="1">
      <c r="E463" s="39"/>
    </row>
    <row r="464" ht="15.75" customHeight="1">
      <c r="E464" s="39"/>
    </row>
    <row r="465" ht="15.75" customHeight="1">
      <c r="E465" s="39"/>
    </row>
    <row r="466" ht="15.75" customHeight="1">
      <c r="E466" s="39"/>
    </row>
    <row r="467" ht="15.75" customHeight="1">
      <c r="E467" s="39"/>
    </row>
    <row r="468" ht="15.75" customHeight="1">
      <c r="E468" s="39"/>
    </row>
    <row r="469" ht="15.75" customHeight="1">
      <c r="E469" s="39"/>
    </row>
    <row r="470" ht="15.75" customHeight="1">
      <c r="E470" s="39"/>
    </row>
    <row r="471" ht="15.75" customHeight="1">
      <c r="E471" s="39"/>
    </row>
    <row r="472" ht="15.75" customHeight="1">
      <c r="E472" s="39"/>
    </row>
    <row r="473" ht="15.75" customHeight="1">
      <c r="E473" s="39"/>
    </row>
    <row r="474" ht="15.75" customHeight="1">
      <c r="E474" s="39"/>
    </row>
    <row r="475" ht="15.75" customHeight="1">
      <c r="E475" s="39"/>
    </row>
    <row r="476" ht="15.75" customHeight="1">
      <c r="E476" s="39"/>
    </row>
    <row r="477" ht="15.75" customHeight="1">
      <c r="E477" s="39"/>
    </row>
    <row r="478" ht="15.75" customHeight="1">
      <c r="E478" s="39"/>
    </row>
    <row r="479" ht="15.75" customHeight="1">
      <c r="E479" s="39"/>
    </row>
    <row r="480" ht="15.75" customHeight="1">
      <c r="E480" s="39"/>
    </row>
    <row r="481" ht="15.75" customHeight="1">
      <c r="E481" s="39"/>
    </row>
    <row r="482" ht="15.75" customHeight="1">
      <c r="E482" s="39"/>
    </row>
    <row r="483" ht="15.75" customHeight="1">
      <c r="E483" s="39"/>
    </row>
    <row r="484" ht="15.75" customHeight="1">
      <c r="E484" s="39"/>
    </row>
    <row r="485" ht="15.75" customHeight="1">
      <c r="E485" s="39"/>
    </row>
    <row r="486" ht="15.75" customHeight="1">
      <c r="E486" s="39"/>
    </row>
    <row r="487" ht="15.75" customHeight="1">
      <c r="E487" s="39"/>
    </row>
    <row r="488" ht="15.75" customHeight="1">
      <c r="E488" s="39"/>
    </row>
    <row r="489" ht="15.75" customHeight="1">
      <c r="E489" s="39"/>
    </row>
    <row r="490" ht="15.75" customHeight="1">
      <c r="E490" s="39"/>
    </row>
    <row r="491" ht="15.75" customHeight="1">
      <c r="E491" s="39"/>
    </row>
    <row r="492" ht="15.75" customHeight="1">
      <c r="E492" s="39"/>
    </row>
    <row r="493" ht="15.75" customHeight="1">
      <c r="E493" s="39"/>
    </row>
    <row r="494" ht="15.75" customHeight="1">
      <c r="E494" s="39"/>
    </row>
    <row r="495" ht="15.75" customHeight="1">
      <c r="E495" s="39"/>
    </row>
    <row r="496" ht="15.75" customHeight="1">
      <c r="E496" s="39"/>
    </row>
    <row r="497" ht="15.75" customHeight="1">
      <c r="E497" s="39"/>
    </row>
    <row r="498" ht="15.75" customHeight="1">
      <c r="E498" s="39"/>
    </row>
    <row r="499" ht="15.75" customHeight="1">
      <c r="E499" s="39"/>
    </row>
    <row r="500" ht="15.75" customHeight="1">
      <c r="E500" s="39"/>
    </row>
    <row r="501" ht="15.75" customHeight="1">
      <c r="E501" s="39"/>
    </row>
    <row r="502" ht="15.75" customHeight="1">
      <c r="E502" s="39"/>
    </row>
    <row r="503" ht="15.75" customHeight="1">
      <c r="E503" s="39"/>
    </row>
    <row r="504" ht="15.75" customHeight="1">
      <c r="E504" s="39"/>
    </row>
    <row r="505" ht="15.75" customHeight="1">
      <c r="E505" s="39"/>
    </row>
    <row r="506" ht="15.75" customHeight="1">
      <c r="E506" s="39"/>
    </row>
    <row r="507" ht="15.75" customHeight="1">
      <c r="E507" s="39"/>
    </row>
    <row r="508" ht="15.75" customHeight="1">
      <c r="E508" s="39"/>
    </row>
    <row r="509" ht="15.75" customHeight="1">
      <c r="E509" s="39"/>
    </row>
    <row r="510" ht="15.75" customHeight="1">
      <c r="E510" s="39"/>
    </row>
    <row r="511" ht="15.75" customHeight="1">
      <c r="E511" s="39"/>
    </row>
    <row r="512" ht="15.75" customHeight="1">
      <c r="E512" s="39"/>
    </row>
    <row r="513" ht="15.75" customHeight="1">
      <c r="E513" s="39"/>
    </row>
    <row r="514" ht="15.75" customHeight="1">
      <c r="E514" s="39"/>
    </row>
    <row r="515" ht="15.75" customHeight="1">
      <c r="E515" s="39"/>
    </row>
    <row r="516" ht="15.75" customHeight="1">
      <c r="E516" s="39"/>
    </row>
    <row r="517" ht="15.75" customHeight="1">
      <c r="E517" s="39"/>
    </row>
    <row r="518" ht="15.75" customHeight="1">
      <c r="E518" s="39"/>
    </row>
    <row r="519" ht="15.75" customHeight="1">
      <c r="E519" s="39"/>
    </row>
    <row r="520" ht="15.75" customHeight="1">
      <c r="E520" s="39"/>
    </row>
    <row r="521" ht="15.75" customHeight="1">
      <c r="E521" s="39"/>
    </row>
    <row r="522" ht="15.75" customHeight="1">
      <c r="E522" s="39"/>
    </row>
    <row r="523" ht="15.75" customHeight="1">
      <c r="E523" s="39"/>
    </row>
    <row r="524" ht="15.75" customHeight="1">
      <c r="E524" s="39"/>
    </row>
    <row r="525" ht="15.75" customHeight="1">
      <c r="E525" s="39"/>
    </row>
    <row r="526" ht="15.75" customHeight="1">
      <c r="E526" s="39"/>
    </row>
    <row r="527" ht="15.75" customHeight="1">
      <c r="E527" s="39"/>
    </row>
    <row r="528" ht="15.75" customHeight="1">
      <c r="E528" s="39"/>
    </row>
    <row r="529" ht="15.75" customHeight="1">
      <c r="E529" s="39"/>
    </row>
    <row r="530" ht="15.75" customHeight="1">
      <c r="E530" s="39"/>
    </row>
    <row r="531" ht="15.75" customHeight="1">
      <c r="E531" s="39"/>
    </row>
    <row r="532" ht="15.75" customHeight="1">
      <c r="E532" s="39"/>
    </row>
    <row r="533" ht="15.75" customHeight="1">
      <c r="E533" s="39"/>
    </row>
    <row r="534" ht="15.75" customHeight="1">
      <c r="E534" s="39"/>
    </row>
    <row r="535" ht="15.75" customHeight="1">
      <c r="E535" s="39"/>
    </row>
    <row r="536" ht="15.75" customHeight="1">
      <c r="E536" s="39"/>
    </row>
    <row r="537" ht="15.75" customHeight="1">
      <c r="E537" s="39"/>
    </row>
    <row r="538" ht="15.75" customHeight="1">
      <c r="E538" s="39"/>
    </row>
    <row r="539" ht="15.75" customHeight="1">
      <c r="E539" s="39"/>
    </row>
    <row r="540" ht="15.75" customHeight="1">
      <c r="E540" s="39"/>
    </row>
    <row r="541" ht="15.75" customHeight="1">
      <c r="E541" s="39"/>
    </row>
    <row r="542" ht="15.75" customHeight="1">
      <c r="E542" s="39"/>
    </row>
    <row r="543" ht="15.75" customHeight="1">
      <c r="E543" s="39"/>
    </row>
    <row r="544" ht="15.75" customHeight="1">
      <c r="E544" s="39"/>
    </row>
    <row r="545" ht="15.75" customHeight="1">
      <c r="E545" s="39"/>
    </row>
    <row r="546" ht="15.75" customHeight="1">
      <c r="E546" s="39"/>
    </row>
    <row r="547" ht="15.75" customHeight="1">
      <c r="E547" s="39"/>
    </row>
    <row r="548" ht="15.75" customHeight="1">
      <c r="E548" s="39"/>
    </row>
    <row r="549" ht="15.75" customHeight="1">
      <c r="E549" s="39"/>
    </row>
    <row r="550" ht="15.75" customHeight="1">
      <c r="E550" s="39"/>
    </row>
    <row r="551" ht="15.75" customHeight="1">
      <c r="E551" s="39"/>
    </row>
    <row r="552" ht="15.75" customHeight="1">
      <c r="E552" s="39"/>
    </row>
    <row r="553" ht="15.75" customHeight="1">
      <c r="E553" s="39"/>
    </row>
    <row r="554" ht="15.75" customHeight="1">
      <c r="E554" s="39"/>
    </row>
    <row r="555" ht="15.75" customHeight="1">
      <c r="E555" s="39"/>
    </row>
    <row r="556" ht="15.75" customHeight="1">
      <c r="E556" s="39"/>
    </row>
    <row r="557" ht="15.75" customHeight="1">
      <c r="E557" s="39"/>
    </row>
    <row r="558" ht="15.75" customHeight="1">
      <c r="E558" s="39"/>
    </row>
    <row r="559" ht="15.75" customHeight="1">
      <c r="E559" s="39"/>
    </row>
    <row r="560" ht="15.75" customHeight="1">
      <c r="E560" s="39"/>
    </row>
    <row r="561" ht="15.75" customHeight="1">
      <c r="E561" s="39"/>
    </row>
    <row r="562" ht="15.75" customHeight="1">
      <c r="E562" s="39"/>
    </row>
    <row r="563" ht="15.75" customHeight="1">
      <c r="E563" s="39"/>
    </row>
    <row r="564" ht="15.75" customHeight="1">
      <c r="E564" s="39"/>
    </row>
    <row r="565" ht="15.75" customHeight="1">
      <c r="E565" s="39"/>
    </row>
    <row r="566" ht="15.75" customHeight="1">
      <c r="E566" s="39"/>
    </row>
    <row r="567" ht="15.75" customHeight="1">
      <c r="E567" s="39"/>
    </row>
    <row r="568" ht="15.75" customHeight="1">
      <c r="E568" s="39"/>
    </row>
    <row r="569" ht="15.75" customHeight="1">
      <c r="E569" s="39"/>
    </row>
    <row r="570" ht="15.75" customHeight="1">
      <c r="E570" s="39"/>
    </row>
    <row r="571" ht="15.75" customHeight="1">
      <c r="E571" s="39"/>
    </row>
    <row r="572" ht="15.75" customHeight="1">
      <c r="E572" s="39"/>
    </row>
    <row r="573" ht="15.75" customHeight="1">
      <c r="E573" s="39"/>
    </row>
    <row r="574" ht="15.75" customHeight="1">
      <c r="E574" s="39"/>
    </row>
    <row r="575" ht="15.75" customHeight="1">
      <c r="E575" s="39"/>
    </row>
    <row r="576" ht="15.75" customHeight="1">
      <c r="E576" s="39"/>
    </row>
    <row r="577" ht="15.75" customHeight="1">
      <c r="E577" s="39"/>
    </row>
    <row r="578" ht="15.75" customHeight="1">
      <c r="E578" s="39"/>
    </row>
    <row r="579" ht="15.75" customHeight="1">
      <c r="E579" s="39"/>
    </row>
    <row r="580" ht="15.75" customHeight="1">
      <c r="E580" s="39"/>
    </row>
    <row r="581" ht="15.75" customHeight="1">
      <c r="E581" s="39"/>
    </row>
    <row r="582" ht="15.75" customHeight="1">
      <c r="E582" s="39"/>
    </row>
    <row r="583" ht="15.75" customHeight="1">
      <c r="E583" s="39"/>
    </row>
    <row r="584" ht="15.75" customHeight="1">
      <c r="E584" s="39"/>
    </row>
    <row r="585" ht="15.75" customHeight="1">
      <c r="E585" s="39"/>
    </row>
    <row r="586" ht="15.75" customHeight="1">
      <c r="E586" s="39"/>
    </row>
    <row r="587" ht="15.75" customHeight="1">
      <c r="E587" s="39"/>
    </row>
    <row r="588" ht="15.75" customHeight="1">
      <c r="E588" s="39"/>
    </row>
    <row r="589" ht="15.75" customHeight="1">
      <c r="E589" s="39"/>
    </row>
    <row r="590" ht="15.75" customHeight="1">
      <c r="E590" s="39"/>
    </row>
    <row r="591" ht="15.75" customHeight="1">
      <c r="E591" s="39"/>
    </row>
    <row r="592" ht="15.75" customHeight="1">
      <c r="E592" s="39"/>
    </row>
    <row r="593" ht="15.75" customHeight="1">
      <c r="E593" s="39"/>
    </row>
    <row r="594" ht="15.75" customHeight="1">
      <c r="E594" s="39"/>
    </row>
    <row r="595" ht="15.75" customHeight="1">
      <c r="E595" s="39"/>
    </row>
    <row r="596" ht="15.75" customHeight="1">
      <c r="E596" s="39"/>
    </row>
    <row r="597" ht="15.75" customHeight="1">
      <c r="E597" s="39"/>
    </row>
    <row r="598" ht="15.75" customHeight="1">
      <c r="E598" s="39"/>
    </row>
    <row r="599" ht="15.75" customHeight="1">
      <c r="E599" s="39"/>
    </row>
    <row r="600" ht="15.75" customHeight="1">
      <c r="E600" s="39"/>
    </row>
    <row r="601" ht="15.75" customHeight="1">
      <c r="E601" s="39"/>
    </row>
    <row r="602" ht="15.75" customHeight="1">
      <c r="E602" s="39"/>
    </row>
    <row r="603" ht="15.75" customHeight="1">
      <c r="E603" s="39"/>
    </row>
    <row r="604" ht="15.75" customHeight="1">
      <c r="E604" s="39"/>
    </row>
    <row r="605" ht="15.75" customHeight="1">
      <c r="E605" s="39"/>
    </row>
    <row r="606" ht="15.75" customHeight="1">
      <c r="E606" s="39"/>
    </row>
    <row r="607" ht="15.75" customHeight="1">
      <c r="E607" s="39"/>
    </row>
    <row r="608" ht="15.75" customHeight="1">
      <c r="E608" s="39"/>
    </row>
    <row r="609" ht="15.75" customHeight="1">
      <c r="E609" s="39"/>
    </row>
    <row r="610" ht="15.75" customHeight="1">
      <c r="E610" s="39"/>
    </row>
    <row r="611" ht="15.75" customHeight="1">
      <c r="E611" s="39"/>
    </row>
    <row r="612" ht="15.75" customHeight="1">
      <c r="E612" s="39"/>
    </row>
    <row r="613" ht="15.75" customHeight="1">
      <c r="E613" s="39"/>
    </row>
    <row r="614" ht="15.75" customHeight="1">
      <c r="E614" s="39"/>
    </row>
    <row r="615" ht="15.75" customHeight="1">
      <c r="E615" s="39"/>
    </row>
    <row r="616" ht="15.75" customHeight="1">
      <c r="E616" s="39"/>
    </row>
    <row r="617" ht="15.75" customHeight="1">
      <c r="E617" s="39"/>
    </row>
    <row r="618" ht="15.75" customHeight="1">
      <c r="E618" s="39"/>
    </row>
    <row r="619" ht="15.75" customHeight="1">
      <c r="E619" s="39"/>
    </row>
    <row r="620" ht="15.75" customHeight="1">
      <c r="E620" s="39"/>
    </row>
    <row r="621" ht="15.75" customHeight="1">
      <c r="E621" s="39"/>
    </row>
    <row r="622" ht="15.75" customHeight="1">
      <c r="E622" s="39"/>
    </row>
    <row r="623" ht="15.75" customHeight="1">
      <c r="E623" s="39"/>
    </row>
    <row r="624" ht="15.75" customHeight="1">
      <c r="E624" s="39"/>
    </row>
    <row r="625" ht="15.75" customHeight="1">
      <c r="E625" s="39"/>
    </row>
    <row r="626" ht="15.75" customHeight="1">
      <c r="E626" s="39"/>
    </row>
    <row r="627" ht="15.75" customHeight="1">
      <c r="E627" s="39"/>
    </row>
    <row r="628" ht="15.75" customHeight="1">
      <c r="E628" s="39"/>
    </row>
    <row r="629" ht="15.75" customHeight="1">
      <c r="E629" s="39"/>
    </row>
    <row r="630" ht="15.75" customHeight="1">
      <c r="E630" s="39"/>
    </row>
    <row r="631" ht="15.75" customHeight="1">
      <c r="E631" s="39"/>
    </row>
    <row r="632" ht="15.75" customHeight="1">
      <c r="E632" s="39"/>
    </row>
    <row r="633" ht="15.75" customHeight="1">
      <c r="E633" s="39"/>
    </row>
    <row r="634" ht="15.75" customHeight="1">
      <c r="E634" s="39"/>
    </row>
    <row r="635" ht="15.75" customHeight="1">
      <c r="E635" s="39"/>
    </row>
    <row r="636" ht="15.75" customHeight="1">
      <c r="E636" s="39"/>
    </row>
    <row r="637" ht="15.75" customHeight="1">
      <c r="E637" s="39"/>
    </row>
    <row r="638" ht="15.75" customHeight="1">
      <c r="E638" s="39"/>
    </row>
    <row r="639" ht="15.75" customHeight="1">
      <c r="E639" s="39"/>
    </row>
    <row r="640" ht="15.75" customHeight="1">
      <c r="E640" s="39"/>
    </row>
    <row r="641" ht="15.75" customHeight="1">
      <c r="E641" s="39"/>
    </row>
    <row r="642" ht="15.75" customHeight="1">
      <c r="E642" s="39"/>
    </row>
    <row r="643" ht="15.75" customHeight="1">
      <c r="E643" s="39"/>
    </row>
    <row r="644" ht="15.75" customHeight="1">
      <c r="E644" s="39"/>
    </row>
    <row r="645" ht="15.75" customHeight="1">
      <c r="E645" s="39"/>
    </row>
    <row r="646" ht="15.75" customHeight="1">
      <c r="E646" s="39"/>
    </row>
    <row r="647" ht="15.75" customHeight="1">
      <c r="E647" s="39"/>
    </row>
    <row r="648" ht="15.75" customHeight="1">
      <c r="E648" s="39"/>
    </row>
    <row r="649" ht="15.75" customHeight="1">
      <c r="E649" s="39"/>
    </row>
    <row r="650" ht="15.75" customHeight="1">
      <c r="E650" s="39"/>
    </row>
    <row r="651" ht="15.75" customHeight="1">
      <c r="E651" s="39"/>
    </row>
    <row r="652" ht="15.75" customHeight="1">
      <c r="E652" s="39"/>
    </row>
    <row r="653" ht="15.75" customHeight="1">
      <c r="E653" s="39"/>
    </row>
    <row r="654" ht="15.75" customHeight="1">
      <c r="E654" s="39"/>
    </row>
    <row r="655" ht="15.75" customHeight="1">
      <c r="E655" s="39"/>
    </row>
    <row r="656" ht="15.75" customHeight="1">
      <c r="E656" s="39"/>
    </row>
    <row r="657" ht="15.75" customHeight="1">
      <c r="E657" s="39"/>
    </row>
    <row r="658" ht="15.75" customHeight="1">
      <c r="E658" s="39"/>
    </row>
    <row r="659" ht="15.75" customHeight="1">
      <c r="E659" s="39"/>
    </row>
    <row r="660" ht="15.75" customHeight="1">
      <c r="E660" s="39"/>
    </row>
    <row r="661" ht="15.75" customHeight="1">
      <c r="E661" s="39"/>
    </row>
    <row r="662" ht="15.75" customHeight="1">
      <c r="E662" s="39"/>
    </row>
    <row r="663" ht="15.75" customHeight="1">
      <c r="E663" s="39"/>
    </row>
    <row r="664" ht="15.75" customHeight="1">
      <c r="E664" s="39"/>
    </row>
    <row r="665" ht="15.75" customHeight="1">
      <c r="E665" s="39"/>
    </row>
    <row r="666" ht="15.75" customHeight="1">
      <c r="E666" s="39"/>
    </row>
    <row r="667" ht="15.75" customHeight="1">
      <c r="E667" s="39"/>
    </row>
    <row r="668" ht="15.75" customHeight="1">
      <c r="E668" s="39"/>
    </row>
    <row r="669" ht="15.75" customHeight="1">
      <c r="E669" s="39"/>
    </row>
    <row r="670" ht="15.75" customHeight="1">
      <c r="E670" s="39"/>
    </row>
    <row r="671" ht="15.75" customHeight="1">
      <c r="E671" s="39"/>
    </row>
    <row r="672" ht="15.75" customHeight="1">
      <c r="E672" s="39"/>
    </row>
    <row r="673" ht="15.75" customHeight="1">
      <c r="E673" s="39"/>
    </row>
    <row r="674" ht="15.75" customHeight="1">
      <c r="E674" s="39"/>
    </row>
    <row r="675" ht="15.75" customHeight="1">
      <c r="E675" s="39"/>
    </row>
    <row r="676" ht="15.75" customHeight="1">
      <c r="E676" s="39"/>
    </row>
    <row r="677" ht="15.75" customHeight="1">
      <c r="E677" s="39"/>
    </row>
    <row r="678" ht="15.75" customHeight="1">
      <c r="E678" s="39"/>
    </row>
    <row r="679" ht="15.75" customHeight="1">
      <c r="E679" s="39"/>
    </row>
    <row r="680" ht="15.75" customHeight="1">
      <c r="E680" s="39"/>
    </row>
    <row r="681" ht="15.75" customHeight="1">
      <c r="E681" s="39"/>
    </row>
    <row r="682" ht="15.75" customHeight="1">
      <c r="E682" s="39"/>
    </row>
    <row r="683" ht="15.75" customHeight="1">
      <c r="E683" s="39"/>
    </row>
    <row r="684" ht="15.75" customHeight="1">
      <c r="E684" s="39"/>
    </row>
    <row r="685" ht="15.75" customHeight="1">
      <c r="E685" s="39"/>
    </row>
    <row r="686" ht="15.75" customHeight="1">
      <c r="E686" s="39"/>
    </row>
    <row r="687" ht="15.75" customHeight="1">
      <c r="E687" s="39"/>
    </row>
    <row r="688" ht="15.75" customHeight="1">
      <c r="E688" s="39"/>
    </row>
    <row r="689" ht="15.75" customHeight="1">
      <c r="E689" s="39"/>
    </row>
    <row r="690" ht="15.75" customHeight="1">
      <c r="E690" s="39"/>
    </row>
    <row r="691" ht="15.75" customHeight="1">
      <c r="E691" s="39"/>
    </row>
    <row r="692" ht="15.75" customHeight="1">
      <c r="E692" s="39"/>
    </row>
    <row r="693" ht="15.75" customHeight="1">
      <c r="E693" s="39"/>
    </row>
    <row r="694" ht="15.75" customHeight="1">
      <c r="E694" s="39"/>
    </row>
    <row r="695" ht="15.75" customHeight="1">
      <c r="E695" s="39"/>
    </row>
    <row r="696" ht="15.75" customHeight="1">
      <c r="E696" s="39"/>
    </row>
    <row r="697" ht="15.75" customHeight="1">
      <c r="E697" s="39"/>
    </row>
    <row r="698" ht="15.75" customHeight="1">
      <c r="E698" s="39"/>
    </row>
    <row r="699" ht="15.75" customHeight="1">
      <c r="E699" s="39"/>
    </row>
    <row r="700" ht="15.75" customHeight="1">
      <c r="E700" s="39"/>
    </row>
    <row r="701" ht="15.75" customHeight="1">
      <c r="E701" s="39"/>
    </row>
    <row r="702" ht="15.75" customHeight="1">
      <c r="E702" s="39"/>
    </row>
    <row r="703" ht="15.75" customHeight="1">
      <c r="E703" s="39"/>
    </row>
    <row r="704" ht="15.75" customHeight="1">
      <c r="E704" s="39"/>
    </row>
    <row r="705" ht="15.75" customHeight="1">
      <c r="E705" s="39"/>
    </row>
    <row r="706" ht="15.75" customHeight="1">
      <c r="E706" s="39"/>
    </row>
    <row r="707" ht="15.75" customHeight="1">
      <c r="E707" s="39"/>
    </row>
    <row r="708" ht="15.75" customHeight="1">
      <c r="E708" s="39"/>
    </row>
    <row r="709" ht="15.75" customHeight="1">
      <c r="E709" s="39"/>
    </row>
    <row r="710" ht="15.75" customHeight="1">
      <c r="E710" s="39"/>
    </row>
    <row r="711" ht="15.75" customHeight="1">
      <c r="E711" s="39"/>
    </row>
    <row r="712" ht="15.75" customHeight="1">
      <c r="E712" s="39"/>
    </row>
    <row r="713" ht="15.75" customHeight="1">
      <c r="E713" s="39"/>
    </row>
    <row r="714" ht="15.75" customHeight="1">
      <c r="E714" s="39"/>
    </row>
    <row r="715" ht="15.75" customHeight="1">
      <c r="E715" s="39"/>
    </row>
    <row r="716" ht="15.75" customHeight="1">
      <c r="E716" s="39"/>
    </row>
    <row r="717" ht="15.75" customHeight="1">
      <c r="E717" s="39"/>
    </row>
    <row r="718" ht="15.75" customHeight="1">
      <c r="E718" s="39"/>
    </row>
    <row r="719" ht="15.75" customHeight="1">
      <c r="E719" s="39"/>
    </row>
    <row r="720" ht="15.75" customHeight="1">
      <c r="E720" s="39"/>
    </row>
    <row r="721" ht="15.75" customHeight="1">
      <c r="E721" s="39"/>
    </row>
    <row r="722" ht="15.75" customHeight="1">
      <c r="E722" s="39"/>
    </row>
    <row r="723" ht="15.75" customHeight="1">
      <c r="E723" s="39"/>
    </row>
    <row r="724" ht="15.75" customHeight="1">
      <c r="E724" s="39"/>
    </row>
    <row r="725" ht="15.75" customHeight="1">
      <c r="E725" s="39"/>
    </row>
    <row r="726" ht="15.75" customHeight="1">
      <c r="E726" s="39"/>
    </row>
    <row r="727" ht="15.75" customHeight="1">
      <c r="E727" s="39"/>
    </row>
    <row r="728" ht="15.75" customHeight="1">
      <c r="E728" s="39"/>
    </row>
    <row r="729" ht="15.75" customHeight="1">
      <c r="E729" s="39"/>
    </row>
    <row r="730" ht="15.75" customHeight="1">
      <c r="E730" s="39"/>
    </row>
    <row r="731" ht="15.75" customHeight="1">
      <c r="E731" s="39"/>
    </row>
    <row r="732" ht="15.75" customHeight="1">
      <c r="E732" s="39"/>
    </row>
    <row r="733" ht="15.75" customHeight="1">
      <c r="E733" s="39"/>
    </row>
    <row r="734" ht="15.75" customHeight="1">
      <c r="E734" s="39"/>
    </row>
    <row r="735" ht="15.75" customHeight="1">
      <c r="E735" s="39"/>
    </row>
    <row r="736" ht="15.75" customHeight="1">
      <c r="E736" s="39"/>
    </row>
    <row r="737" ht="15.75" customHeight="1">
      <c r="E737" s="39"/>
    </row>
    <row r="738" ht="15.75" customHeight="1">
      <c r="E738" s="39"/>
    </row>
    <row r="739" ht="15.75" customHeight="1">
      <c r="E739" s="39"/>
    </row>
    <row r="740" ht="15.75" customHeight="1">
      <c r="E740" s="39"/>
    </row>
    <row r="741" ht="15.75" customHeight="1">
      <c r="E741" s="39"/>
    </row>
    <row r="742" ht="15.75" customHeight="1">
      <c r="E742" s="39"/>
    </row>
    <row r="743" ht="15.75" customHeight="1">
      <c r="E743" s="39"/>
    </row>
    <row r="744" ht="15.75" customHeight="1">
      <c r="E744" s="39"/>
    </row>
    <row r="745" ht="15.75" customHeight="1">
      <c r="E745" s="39"/>
    </row>
    <row r="746" ht="15.75" customHeight="1">
      <c r="E746" s="39"/>
    </row>
    <row r="747" ht="15.75" customHeight="1">
      <c r="E747" s="39"/>
    </row>
    <row r="748" ht="15.75" customHeight="1">
      <c r="E748" s="39"/>
    </row>
    <row r="749" ht="15.75" customHeight="1">
      <c r="E749" s="39"/>
    </row>
    <row r="750" ht="15.75" customHeight="1">
      <c r="E750" s="39"/>
    </row>
    <row r="751" ht="15.75" customHeight="1">
      <c r="E751" s="39"/>
    </row>
    <row r="752" ht="15.75" customHeight="1">
      <c r="E752" s="39"/>
    </row>
    <row r="753" ht="15.75" customHeight="1">
      <c r="E753" s="39"/>
    </row>
    <row r="754" ht="15.75" customHeight="1">
      <c r="E754" s="39"/>
    </row>
    <row r="755" ht="15.75" customHeight="1">
      <c r="E755" s="39"/>
    </row>
    <row r="756" ht="15.75" customHeight="1">
      <c r="E756" s="39"/>
    </row>
    <row r="757" ht="15.75" customHeight="1">
      <c r="E757" s="39"/>
    </row>
    <row r="758" ht="15.75" customHeight="1">
      <c r="E758" s="39"/>
    </row>
    <row r="759" ht="15.75" customHeight="1">
      <c r="E759" s="39"/>
    </row>
    <row r="760" ht="15.75" customHeight="1">
      <c r="E760" s="39"/>
    </row>
    <row r="761" ht="15.75" customHeight="1">
      <c r="E761" s="39"/>
    </row>
    <row r="762" ht="15.75" customHeight="1">
      <c r="E762" s="39"/>
    </row>
    <row r="763" ht="15.75" customHeight="1">
      <c r="E763" s="39"/>
    </row>
    <row r="764" ht="15.75" customHeight="1">
      <c r="E764" s="39"/>
    </row>
    <row r="765" ht="15.75" customHeight="1">
      <c r="E765" s="39"/>
    </row>
    <row r="766" ht="15.75" customHeight="1">
      <c r="E766" s="39"/>
    </row>
    <row r="767" ht="15.75" customHeight="1">
      <c r="E767" s="39"/>
    </row>
    <row r="768" ht="15.75" customHeight="1">
      <c r="E768" s="39"/>
    </row>
    <row r="769" ht="15.75" customHeight="1">
      <c r="E769" s="39"/>
    </row>
    <row r="770" ht="15.75" customHeight="1">
      <c r="E770" s="39"/>
    </row>
    <row r="771" ht="15.75" customHeight="1">
      <c r="E771" s="39"/>
    </row>
    <row r="772" ht="15.75" customHeight="1">
      <c r="E772" s="39"/>
    </row>
    <row r="773" ht="15.75" customHeight="1">
      <c r="E773" s="39"/>
    </row>
    <row r="774" ht="15.75" customHeight="1">
      <c r="E774" s="39"/>
    </row>
    <row r="775" ht="15.75" customHeight="1">
      <c r="E775" s="39"/>
    </row>
    <row r="776" ht="15.75" customHeight="1">
      <c r="E776" s="39"/>
    </row>
    <row r="777" ht="15.75" customHeight="1">
      <c r="E777" s="39"/>
    </row>
    <row r="778" ht="15.75" customHeight="1">
      <c r="E778" s="39"/>
    </row>
    <row r="779" ht="15.75" customHeight="1">
      <c r="E779" s="39"/>
    </row>
    <row r="780" ht="15.75" customHeight="1">
      <c r="E780" s="39"/>
    </row>
    <row r="781" ht="15.75" customHeight="1">
      <c r="E781" s="39"/>
    </row>
    <row r="782" ht="15.75" customHeight="1">
      <c r="E782" s="39"/>
    </row>
    <row r="783" ht="15.75" customHeight="1">
      <c r="E783" s="39"/>
    </row>
    <row r="784" ht="15.75" customHeight="1">
      <c r="E784" s="39"/>
    </row>
    <row r="785" ht="15.75" customHeight="1">
      <c r="E785" s="39"/>
    </row>
    <row r="786" ht="15.75" customHeight="1">
      <c r="E786" s="39"/>
    </row>
    <row r="787" ht="15.75" customHeight="1">
      <c r="E787" s="39"/>
    </row>
    <row r="788" ht="15.75" customHeight="1">
      <c r="E788" s="39"/>
    </row>
    <row r="789" ht="15.75" customHeight="1">
      <c r="E789" s="39"/>
    </row>
    <row r="790" ht="15.75" customHeight="1">
      <c r="E790" s="39"/>
    </row>
    <row r="791" ht="15.75" customHeight="1">
      <c r="E791" s="39"/>
    </row>
    <row r="792" ht="15.75" customHeight="1">
      <c r="E792" s="39"/>
    </row>
    <row r="793" ht="15.75" customHeight="1">
      <c r="E793" s="39"/>
    </row>
    <row r="794" ht="15.75" customHeight="1">
      <c r="E794" s="39"/>
    </row>
    <row r="795" ht="15.75" customHeight="1">
      <c r="E795" s="39"/>
    </row>
    <row r="796" ht="15.75" customHeight="1">
      <c r="E796" s="39"/>
    </row>
    <row r="797" ht="15.75" customHeight="1">
      <c r="E797" s="39"/>
    </row>
    <row r="798" ht="15.75" customHeight="1">
      <c r="E798" s="39"/>
    </row>
    <row r="799" ht="15.75" customHeight="1">
      <c r="E799" s="39"/>
    </row>
    <row r="800" ht="15.75" customHeight="1">
      <c r="E800" s="39"/>
    </row>
    <row r="801" ht="15.75" customHeight="1">
      <c r="E801" s="39"/>
    </row>
    <row r="802" ht="15.75" customHeight="1">
      <c r="E802" s="39"/>
    </row>
    <row r="803" ht="15.75" customHeight="1">
      <c r="E803" s="39"/>
    </row>
    <row r="804" ht="15.75" customHeight="1">
      <c r="E804" s="39"/>
    </row>
    <row r="805" ht="15.75" customHeight="1">
      <c r="E805" s="39"/>
    </row>
    <row r="806" ht="15.75" customHeight="1">
      <c r="E806" s="39"/>
    </row>
    <row r="807" ht="15.75" customHeight="1">
      <c r="E807" s="39"/>
    </row>
    <row r="808" ht="15.75" customHeight="1">
      <c r="E808" s="39"/>
    </row>
    <row r="809" ht="15.75" customHeight="1">
      <c r="E809" s="39"/>
    </row>
    <row r="810" ht="15.75" customHeight="1">
      <c r="E810" s="39"/>
    </row>
    <row r="811" ht="15.75" customHeight="1">
      <c r="E811" s="39"/>
    </row>
    <row r="812" ht="15.75" customHeight="1">
      <c r="E812" s="39"/>
    </row>
    <row r="813" ht="15.75" customHeight="1">
      <c r="E813" s="39"/>
    </row>
    <row r="814" ht="15.75" customHeight="1">
      <c r="E814" s="39"/>
    </row>
    <row r="815" ht="15.75" customHeight="1">
      <c r="E815" s="39"/>
    </row>
    <row r="816" ht="15.75" customHeight="1">
      <c r="E816" s="39"/>
    </row>
    <row r="817" ht="15.75" customHeight="1">
      <c r="E817" s="39"/>
    </row>
    <row r="818" ht="15.75" customHeight="1">
      <c r="E818" s="39"/>
    </row>
    <row r="819" ht="15.75" customHeight="1">
      <c r="E819" s="39"/>
    </row>
    <row r="820" ht="15.75" customHeight="1">
      <c r="E820" s="39"/>
    </row>
    <row r="821" ht="15.75" customHeight="1">
      <c r="E821" s="39"/>
    </row>
    <row r="822" ht="15.75" customHeight="1">
      <c r="E822" s="39"/>
    </row>
    <row r="823" ht="15.75" customHeight="1">
      <c r="E823" s="39"/>
    </row>
    <row r="824" ht="15.75" customHeight="1">
      <c r="E824" s="39"/>
    </row>
    <row r="825" ht="15.75" customHeight="1">
      <c r="E825" s="39"/>
    </row>
    <row r="826" ht="15.75" customHeight="1">
      <c r="E826" s="39"/>
    </row>
    <row r="827" ht="15.75" customHeight="1">
      <c r="E827" s="39"/>
    </row>
    <row r="828" ht="15.75" customHeight="1">
      <c r="E828" s="39"/>
    </row>
    <row r="829" ht="15.75" customHeight="1">
      <c r="E829" s="39"/>
    </row>
    <row r="830" ht="15.75" customHeight="1">
      <c r="E830" s="39"/>
    </row>
    <row r="831" ht="15.75" customHeight="1">
      <c r="E831" s="39"/>
    </row>
    <row r="832" ht="15.75" customHeight="1">
      <c r="E832" s="39"/>
    </row>
    <row r="833" ht="15.75" customHeight="1">
      <c r="E833" s="39"/>
    </row>
    <row r="834" ht="15.75" customHeight="1">
      <c r="E834" s="39"/>
    </row>
    <row r="835" ht="15.75" customHeight="1">
      <c r="E835" s="39"/>
    </row>
    <row r="836" ht="15.75" customHeight="1">
      <c r="E836" s="39"/>
    </row>
    <row r="837" ht="15.75" customHeight="1">
      <c r="E837" s="39"/>
    </row>
    <row r="838" ht="15.75" customHeight="1">
      <c r="E838" s="39"/>
    </row>
    <row r="839" ht="15.75" customHeight="1">
      <c r="E839" s="39"/>
    </row>
    <row r="840" ht="15.75" customHeight="1">
      <c r="E840" s="39"/>
    </row>
    <row r="841" ht="15.75" customHeight="1">
      <c r="E841" s="39"/>
    </row>
    <row r="842" ht="15.75" customHeight="1">
      <c r="E842" s="39"/>
    </row>
    <row r="843" ht="15.75" customHeight="1">
      <c r="E843" s="39"/>
    </row>
    <row r="844" ht="15.75" customHeight="1">
      <c r="E844" s="39"/>
    </row>
    <row r="845" ht="15.75" customHeight="1">
      <c r="E845" s="39"/>
    </row>
    <row r="846" ht="15.75" customHeight="1">
      <c r="E846" s="39"/>
    </row>
    <row r="847" ht="15.75" customHeight="1">
      <c r="E847" s="39"/>
    </row>
    <row r="848" ht="15.75" customHeight="1">
      <c r="E848" s="39"/>
    </row>
    <row r="849" ht="15.75" customHeight="1">
      <c r="E849" s="39"/>
    </row>
    <row r="850" ht="15.75" customHeight="1">
      <c r="E850" s="39"/>
    </row>
    <row r="851" ht="15.75" customHeight="1">
      <c r="E851" s="39"/>
    </row>
    <row r="852" ht="15.75" customHeight="1">
      <c r="E852" s="39"/>
    </row>
    <row r="853" ht="15.75" customHeight="1">
      <c r="E853" s="39"/>
    </row>
    <row r="854" ht="15.75" customHeight="1">
      <c r="E854" s="39"/>
    </row>
    <row r="855" ht="15.75" customHeight="1">
      <c r="E855" s="39"/>
    </row>
    <row r="856" ht="15.75" customHeight="1">
      <c r="E856" s="39"/>
    </row>
    <row r="857" ht="15.75" customHeight="1">
      <c r="E857" s="39"/>
    </row>
    <row r="858" ht="15.75" customHeight="1">
      <c r="E858" s="39"/>
    </row>
    <row r="859" ht="15.75" customHeight="1">
      <c r="E859" s="39"/>
    </row>
    <row r="860" ht="15.75" customHeight="1">
      <c r="E860" s="39"/>
    </row>
    <row r="861" ht="15.75" customHeight="1">
      <c r="E861" s="39"/>
    </row>
    <row r="862" ht="15.75" customHeight="1">
      <c r="E862" s="39"/>
    </row>
    <row r="863" ht="15.75" customHeight="1">
      <c r="E863" s="39"/>
    </row>
    <row r="864" ht="15.75" customHeight="1">
      <c r="E864" s="39"/>
    </row>
    <row r="865" ht="15.75" customHeight="1">
      <c r="E865" s="39"/>
    </row>
    <row r="866" ht="15.75" customHeight="1">
      <c r="E866" s="39"/>
    </row>
    <row r="867" ht="15.75" customHeight="1">
      <c r="E867" s="39"/>
    </row>
    <row r="868" ht="15.75" customHeight="1">
      <c r="E868" s="39"/>
    </row>
    <row r="869" ht="15.75" customHeight="1">
      <c r="E869" s="39"/>
    </row>
    <row r="870" ht="15.75" customHeight="1">
      <c r="E870" s="39"/>
    </row>
    <row r="871" ht="15.75" customHeight="1">
      <c r="E871" s="39"/>
    </row>
    <row r="872" ht="15.75" customHeight="1">
      <c r="E872" s="39"/>
    </row>
    <row r="873" ht="15.75" customHeight="1">
      <c r="E873" s="39"/>
    </row>
    <row r="874" ht="15.75" customHeight="1">
      <c r="E874" s="39"/>
    </row>
    <row r="875" ht="15.75" customHeight="1">
      <c r="E875" s="39"/>
    </row>
    <row r="876" ht="15.75" customHeight="1">
      <c r="E876" s="39"/>
    </row>
    <row r="877" ht="15.75" customHeight="1">
      <c r="E877" s="39"/>
    </row>
    <row r="878" ht="15.75" customHeight="1">
      <c r="E878" s="39"/>
    </row>
    <row r="879" ht="15.75" customHeight="1">
      <c r="E879" s="39"/>
    </row>
    <row r="880" ht="15.75" customHeight="1">
      <c r="E880" s="39"/>
    </row>
    <row r="881" ht="15.75" customHeight="1">
      <c r="E881" s="39"/>
    </row>
    <row r="882" ht="15.75" customHeight="1">
      <c r="E882" s="39"/>
    </row>
    <row r="883" ht="15.75" customHeight="1">
      <c r="E883" s="39"/>
    </row>
    <row r="884" ht="15.75" customHeight="1">
      <c r="E884" s="39"/>
    </row>
    <row r="885" ht="15.75" customHeight="1">
      <c r="E885" s="39"/>
    </row>
    <row r="886" ht="15.75" customHeight="1">
      <c r="E886" s="39"/>
    </row>
    <row r="887" ht="15.75" customHeight="1">
      <c r="E887" s="39"/>
    </row>
    <row r="888" ht="15.75" customHeight="1">
      <c r="E888" s="39"/>
    </row>
    <row r="889" ht="15.75" customHeight="1">
      <c r="E889" s="39"/>
    </row>
    <row r="890" ht="15.75" customHeight="1">
      <c r="E890" s="39"/>
    </row>
    <row r="891" ht="15.75" customHeight="1">
      <c r="E891" s="39"/>
    </row>
    <row r="892" ht="15.75" customHeight="1">
      <c r="E892" s="39"/>
    </row>
    <row r="893" ht="15.75" customHeight="1">
      <c r="E893" s="39"/>
    </row>
    <row r="894" ht="15.75" customHeight="1">
      <c r="E894" s="39"/>
    </row>
    <row r="895" ht="15.75" customHeight="1">
      <c r="E895" s="39"/>
    </row>
    <row r="896" ht="15.75" customHeight="1">
      <c r="E896" s="39"/>
    </row>
    <row r="897" ht="15.75" customHeight="1">
      <c r="E897" s="39"/>
    </row>
    <row r="898" ht="15.75" customHeight="1">
      <c r="E898" s="39"/>
    </row>
    <row r="899" ht="15.75" customHeight="1">
      <c r="E899" s="39"/>
    </row>
    <row r="900" ht="15.75" customHeight="1">
      <c r="E900" s="39"/>
    </row>
    <row r="901" ht="15.75" customHeight="1">
      <c r="E901" s="39"/>
    </row>
    <row r="902" ht="15.75" customHeight="1">
      <c r="E902" s="39"/>
    </row>
    <row r="903" ht="15.75" customHeight="1">
      <c r="E903" s="39"/>
    </row>
    <row r="904" ht="15.75" customHeight="1">
      <c r="E904" s="39"/>
    </row>
    <row r="905" ht="15.75" customHeight="1">
      <c r="E905" s="39"/>
    </row>
    <row r="906" ht="15.75" customHeight="1">
      <c r="E906" s="39"/>
    </row>
    <row r="907" ht="15.75" customHeight="1">
      <c r="E907" s="39"/>
    </row>
    <row r="908" ht="15.75" customHeight="1">
      <c r="E908" s="39"/>
    </row>
    <row r="909" ht="15.75" customHeight="1">
      <c r="E909" s="39"/>
    </row>
    <row r="910" ht="15.75" customHeight="1">
      <c r="E910" s="39"/>
    </row>
    <row r="911" ht="15.75" customHeight="1">
      <c r="E911" s="39"/>
    </row>
    <row r="912" ht="15.75" customHeight="1">
      <c r="E912" s="39"/>
    </row>
    <row r="913" ht="15.75" customHeight="1">
      <c r="E913" s="39"/>
    </row>
    <row r="914" ht="15.75" customHeight="1">
      <c r="E914" s="39"/>
    </row>
    <row r="915" ht="15.75" customHeight="1">
      <c r="E915" s="39"/>
    </row>
    <row r="916" ht="15.75" customHeight="1">
      <c r="E916" s="39"/>
    </row>
    <row r="917" ht="15.75" customHeight="1">
      <c r="E917" s="39"/>
    </row>
    <row r="918" ht="15.75" customHeight="1">
      <c r="E918" s="39"/>
    </row>
    <row r="919" ht="15.75" customHeight="1">
      <c r="E919" s="39"/>
    </row>
    <row r="920" ht="15.75" customHeight="1">
      <c r="E920" s="39"/>
    </row>
    <row r="921" ht="15.75" customHeight="1">
      <c r="E921" s="39"/>
    </row>
    <row r="922" ht="15.75" customHeight="1">
      <c r="E922" s="39"/>
    </row>
    <row r="923" ht="15.75" customHeight="1">
      <c r="E923" s="39"/>
    </row>
    <row r="924" ht="15.75" customHeight="1">
      <c r="E924" s="39"/>
    </row>
    <row r="925" ht="15.75" customHeight="1">
      <c r="E925" s="39"/>
    </row>
    <row r="926" ht="15.75" customHeight="1">
      <c r="E926" s="39"/>
    </row>
    <row r="927" ht="15.75" customHeight="1">
      <c r="E927" s="39"/>
    </row>
    <row r="928" ht="15.75" customHeight="1">
      <c r="E928" s="39"/>
    </row>
    <row r="929" ht="15.75" customHeight="1">
      <c r="E929" s="39"/>
    </row>
    <row r="930" ht="15.75" customHeight="1">
      <c r="E930" s="39"/>
    </row>
    <row r="931" ht="15.75" customHeight="1">
      <c r="E931" s="39"/>
    </row>
    <row r="932" ht="15.75" customHeight="1">
      <c r="E932" s="39"/>
    </row>
    <row r="933" ht="15.75" customHeight="1">
      <c r="E933" s="39"/>
    </row>
    <row r="934" ht="15.75" customHeight="1">
      <c r="E934" s="39"/>
    </row>
    <row r="935" ht="15.75" customHeight="1">
      <c r="E935" s="39"/>
    </row>
    <row r="936" ht="15.75" customHeight="1">
      <c r="E936" s="39"/>
    </row>
    <row r="937" ht="15.75" customHeight="1">
      <c r="E937" s="39"/>
    </row>
    <row r="938" ht="15.75" customHeight="1">
      <c r="E938" s="39"/>
    </row>
    <row r="939" ht="15.75" customHeight="1">
      <c r="E939" s="39"/>
    </row>
    <row r="940" ht="15.75" customHeight="1">
      <c r="E940" s="39"/>
    </row>
    <row r="941" ht="15.75" customHeight="1">
      <c r="E941" s="39"/>
    </row>
    <row r="942" ht="15.75" customHeight="1">
      <c r="E942" s="39"/>
    </row>
    <row r="943" ht="15.75" customHeight="1">
      <c r="E943" s="39"/>
    </row>
    <row r="944" ht="15.75" customHeight="1">
      <c r="E944" s="39"/>
    </row>
    <row r="945" ht="15.75" customHeight="1">
      <c r="E945" s="39"/>
    </row>
    <row r="946" ht="15.75" customHeight="1">
      <c r="E946" s="39"/>
    </row>
    <row r="947" ht="15.75" customHeight="1">
      <c r="E947" s="39"/>
    </row>
    <row r="948" ht="15.75" customHeight="1">
      <c r="E948" s="39"/>
    </row>
    <row r="949" ht="15.75" customHeight="1">
      <c r="E949" s="39"/>
    </row>
    <row r="950" ht="15.75" customHeight="1">
      <c r="E950" s="39"/>
    </row>
    <row r="951" ht="15.75" customHeight="1">
      <c r="E951" s="39"/>
    </row>
    <row r="952" ht="15.75" customHeight="1">
      <c r="E952" s="39"/>
    </row>
    <row r="953" ht="15.75" customHeight="1">
      <c r="E953" s="39"/>
    </row>
    <row r="954" ht="15.75" customHeight="1">
      <c r="E954" s="39"/>
    </row>
    <row r="955" ht="15.75" customHeight="1">
      <c r="E955" s="39"/>
    </row>
    <row r="956" ht="15.75" customHeight="1">
      <c r="E956" s="39"/>
    </row>
    <row r="957" ht="15.75" customHeight="1">
      <c r="E957" s="39"/>
    </row>
    <row r="958" ht="15.75" customHeight="1">
      <c r="E958" s="39"/>
    </row>
    <row r="959" ht="15.75" customHeight="1">
      <c r="E959" s="39"/>
    </row>
    <row r="960" ht="15.75" customHeight="1">
      <c r="E960" s="39"/>
    </row>
    <row r="961" ht="15.75" customHeight="1">
      <c r="E961" s="39"/>
    </row>
    <row r="962" ht="15.75" customHeight="1">
      <c r="E962" s="39"/>
    </row>
    <row r="963" ht="15.75" customHeight="1">
      <c r="E963" s="39"/>
    </row>
    <row r="964" ht="15.75" customHeight="1">
      <c r="E964" s="39"/>
    </row>
    <row r="965" ht="15.75" customHeight="1">
      <c r="E965" s="39"/>
    </row>
    <row r="966" ht="15.75" customHeight="1">
      <c r="E966" s="39"/>
    </row>
    <row r="967" ht="15.75" customHeight="1">
      <c r="E967" s="39"/>
    </row>
    <row r="968" ht="15.75" customHeight="1">
      <c r="E968" s="39"/>
    </row>
    <row r="969" ht="15.75" customHeight="1">
      <c r="E969" s="39"/>
    </row>
    <row r="970" ht="15.75" customHeight="1">
      <c r="E970" s="39"/>
    </row>
    <row r="971" ht="15.75" customHeight="1">
      <c r="E971" s="39"/>
    </row>
    <row r="972" ht="15.75" customHeight="1">
      <c r="E972" s="39"/>
    </row>
    <row r="973" ht="15.75" customHeight="1">
      <c r="E973" s="39"/>
    </row>
    <row r="974" ht="15.75" customHeight="1">
      <c r="E974" s="39"/>
    </row>
    <row r="975" ht="15.75" customHeight="1">
      <c r="E975" s="39"/>
    </row>
    <row r="976" ht="15.75" customHeight="1">
      <c r="E976" s="39"/>
    </row>
    <row r="977" ht="15.75" customHeight="1">
      <c r="E977" s="39"/>
    </row>
    <row r="978" ht="15.75" customHeight="1">
      <c r="E978" s="39"/>
    </row>
    <row r="979" ht="15.75" customHeight="1">
      <c r="E979" s="39"/>
    </row>
    <row r="980" ht="15.75" customHeight="1">
      <c r="E980" s="39"/>
    </row>
    <row r="981" ht="15.75" customHeight="1">
      <c r="E981" s="39"/>
    </row>
    <row r="982" ht="15.75" customHeight="1">
      <c r="E982" s="39"/>
    </row>
    <row r="983" ht="15.75" customHeight="1">
      <c r="E983" s="39"/>
    </row>
    <row r="984" ht="15.75" customHeight="1">
      <c r="E984" s="39"/>
    </row>
    <row r="985" ht="15.75" customHeight="1">
      <c r="E985" s="39"/>
    </row>
    <row r="986" ht="15.75" customHeight="1">
      <c r="E986" s="39"/>
    </row>
    <row r="987" ht="15.75" customHeight="1">
      <c r="E987" s="39"/>
    </row>
    <row r="988" ht="15.75" customHeight="1">
      <c r="E988" s="39"/>
    </row>
    <row r="989" ht="15.75" customHeight="1">
      <c r="E989" s="39"/>
    </row>
    <row r="990" ht="15.75" customHeight="1">
      <c r="E990" s="39"/>
    </row>
    <row r="991" ht="15.75" customHeight="1">
      <c r="E991" s="39"/>
    </row>
    <row r="992" ht="15.75" customHeight="1">
      <c r="E992" s="39"/>
    </row>
    <row r="993" ht="15.75" customHeight="1">
      <c r="E993" s="39"/>
    </row>
    <row r="994" ht="15.75" customHeight="1">
      <c r="E994" s="39"/>
    </row>
    <row r="995" ht="15.75" customHeight="1">
      <c r="E995" s="39"/>
    </row>
    <row r="996" ht="15.75" customHeight="1">
      <c r="E996" s="39"/>
    </row>
    <row r="997" ht="15.75" customHeight="1">
      <c r="E997" s="39"/>
    </row>
  </sheetData>
  <conditionalFormatting sqref="E2:E197">
    <cfRule type="colorScale" priority="1">
      <colorScale>
        <cfvo type="min"/>
        <cfvo type="percentile" val="50"/>
        <cfvo type="max"/>
        <color rgb="FFFCA5A5"/>
        <color rgb="FFFEF3C7"/>
        <color rgb="FFBBF7D0"/>
      </colorScale>
    </cfRule>
  </conditionalFormatting>
  <dataValidations>
    <dataValidation type="list" allowBlank="1" sqref="A19">
      <formula1>Foods!$A$2:$A$197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2.0"/>
    <col customWidth="1" min="3" max="3" width="13.0"/>
    <col customWidth="1" min="4" max="4" width="18.0"/>
    <col customWidth="1" min="5" max="5" width="13.0"/>
    <col customWidth="1" min="6" max="6" width="11.0"/>
    <col customWidth="1" min="7" max="7" width="18.0"/>
    <col customWidth="1" min="8" max="8" width="17.0"/>
    <col customWidth="1" min="9" max="26" width="8.63"/>
  </cols>
  <sheetData>
    <row r="1" ht="25.5" customHeight="1">
      <c r="A1" s="10" t="s">
        <v>14</v>
      </c>
      <c r="B1" s="10" t="s">
        <v>3</v>
      </c>
      <c r="C1" s="10" t="s">
        <v>18</v>
      </c>
      <c r="D1" s="10" t="s">
        <v>185</v>
      </c>
      <c r="E1" s="40" t="s">
        <v>186</v>
      </c>
      <c r="F1" s="10" t="s">
        <v>187</v>
      </c>
      <c r="G1" s="10" t="s">
        <v>188</v>
      </c>
      <c r="H1" s="10" t="s">
        <v>189</v>
      </c>
    </row>
    <row r="2">
      <c r="A2" s="17">
        <f>'Meal Log'!$A$2+0</f>
        <v>46196</v>
      </c>
      <c r="B2" s="20">
        <f>IF($A2="","",SUMIFS('Meal Log'!$E:$E,'Meal Log'!$A:$A,$A2))</f>
        <v>3390</v>
      </c>
      <c r="C2" s="20">
        <f>IF($A2="","",SUMIFS('Meal Log'!$F:$F,'Meal Log'!$A:$A,$A2))</f>
        <v>110</v>
      </c>
      <c r="D2" s="13">
        <f>IF($E2=0,"",ROUND(SUMIFS('Meal Log'!$G:$G,'Meal Log'!$A:$A,$A2)/$E2,1))</f>
        <v>6</v>
      </c>
      <c r="E2" s="13">
        <f>COUNTIF('Meal Log'!$A:$A,$A2)</f>
        <v>8</v>
      </c>
      <c r="F2" s="15">
        <v>186.4</v>
      </c>
      <c r="G2" s="13">
        <f>IFERROR(__xludf.DUMMYFUNCTION("IFERROR(ROUND(AVERAGE(FILTER($B$2:$B2,$A$2:$A2&gt;=$A2-6,$B$2:$B2&gt;0)),0),"""")"),3390.0)</f>
        <v>3390</v>
      </c>
      <c r="H2" s="13">
        <f>IFERROR(__xludf.DUMMYFUNCTION("IFERROR(ROUND(AVERAGE(FILTER($F$2:$F2,$A$2:$A2&gt;=$A2-6,$F$2:$F2&gt;0)),1),"""")"),186.4)</f>
        <v>186.4</v>
      </c>
    </row>
    <row r="3">
      <c r="A3" s="17">
        <f>'Meal Log'!$A$2+1</f>
        <v>46197</v>
      </c>
      <c r="B3" s="20">
        <f>IF($A3="","",SUMIFS('Meal Log'!$E:$E,'Meal Log'!$A:$A,$A3))</f>
        <v>2055</v>
      </c>
      <c r="C3" s="20">
        <f>IF($A3="","",SUMIFS('Meal Log'!$F:$F,'Meal Log'!$A:$A,$A3))</f>
        <v>149.5</v>
      </c>
      <c r="D3" s="13">
        <f>IF($E3=0,"",ROUND(SUMIFS('Meal Log'!$G:$G,'Meal Log'!$A:$A,$A3)/$E3,1))</f>
        <v>9.9</v>
      </c>
      <c r="E3" s="13">
        <f>COUNTIF('Meal Log'!$A:$A,$A3)</f>
        <v>10</v>
      </c>
      <c r="F3" s="30">
        <v>185.2</v>
      </c>
      <c r="G3" s="13">
        <f>IFERROR(__xludf.DUMMYFUNCTION("IFERROR(ROUND(AVERAGE(FILTER($B$2:$B3,$A$2:$A3&gt;=$A3-6,$B$2:$B3&gt;0)),0),"""")"),2723.0)</f>
        <v>2723</v>
      </c>
      <c r="H3" s="13">
        <f>IFERROR(__xludf.DUMMYFUNCTION("IFERROR(ROUND(AVERAGE(FILTER($F$2:$F3,$A$2:$A3&gt;=$A3-6,$F$2:$F3&gt;0)),1),"""")"),185.8)</f>
        <v>185.8</v>
      </c>
    </row>
    <row r="4">
      <c r="A4" s="17">
        <f>'Meal Log'!$A$2+2</f>
        <v>46198</v>
      </c>
      <c r="B4" s="20">
        <f>IF($A4="","",SUMIFS('Meal Log'!$E:$E,'Meal Log'!$A:$A,$A4))</f>
        <v>2220</v>
      </c>
      <c r="C4" s="20">
        <f>IF($A4="","",SUMIFS('Meal Log'!$F:$F,'Meal Log'!$A:$A,$A4))</f>
        <v>109</v>
      </c>
      <c r="D4" s="13">
        <f>IF($E4=0,"",ROUND(SUMIFS('Meal Log'!$G:$G,'Meal Log'!$A:$A,$A4)/$E4,1))</f>
        <v>9.8</v>
      </c>
      <c r="E4" s="13">
        <f>COUNTIF('Meal Log'!$A:$A,$A4)</f>
        <v>10</v>
      </c>
      <c r="F4" s="13">
        <f>IFERROR(VLOOKUP($A4,'Weight Log'!$A:$B,2,FALSE),"")</f>
        <v>184</v>
      </c>
      <c r="G4" s="13">
        <f>IFERROR(__xludf.DUMMYFUNCTION("IFERROR(ROUND(AVERAGE(FILTER($B$2:$B4,$A$2:$A4&gt;=$A4-6,$B$2:$B4&gt;0)),0),"""")"),2555.0)</f>
        <v>2555</v>
      </c>
      <c r="H4" s="13">
        <f>IFERROR(__xludf.DUMMYFUNCTION("IFERROR(ROUND(AVERAGE(FILTER($F$2:$F4,$A$2:$A4&gt;=$A4-6,$F$2:$F4&gt;0)),1),"""")"),185.2)</f>
        <v>185.2</v>
      </c>
    </row>
    <row r="5">
      <c r="A5" s="17">
        <f>'Meal Log'!$A$2+3</f>
        <v>46199</v>
      </c>
      <c r="B5" s="20">
        <f>IF($A5="","",SUMIFS('Meal Log'!$E:$E,'Meal Log'!$A:$A,$A5))</f>
        <v>2285</v>
      </c>
      <c r="C5" s="20">
        <f>IF($A5="","",SUMIFS('Meal Log'!$F:$F,'Meal Log'!$A:$A,$A5))</f>
        <v>127.5</v>
      </c>
      <c r="D5" s="13">
        <f>IF($E5=0,"",ROUND(SUMIFS('Meal Log'!$G:$G,'Meal Log'!$A:$A,$A5)/$E5,1))</f>
        <v>9</v>
      </c>
      <c r="E5" s="13">
        <f>COUNTIF('Meal Log'!$A:$A,$A5)</f>
        <v>11</v>
      </c>
      <c r="F5" s="13" t="str">
        <f>IFERROR(VLOOKUP($A5,'Weight Log'!$A:$B,2,FALSE),"")</f>
        <v/>
      </c>
      <c r="G5" s="13">
        <f>IFERROR(__xludf.DUMMYFUNCTION("IFERROR(ROUND(AVERAGE(FILTER($B$2:$B5,$A$2:$A5&gt;=$A5-6,$B$2:$B5&gt;0)),0),"""")"),2488.0)</f>
        <v>2488</v>
      </c>
      <c r="H5" s="13">
        <f>IFERROR(__xludf.DUMMYFUNCTION("IFERROR(ROUND(AVERAGE(FILTER($F$2:$F5,$A$2:$A5&gt;=$A5-6,$F$2:$F5&gt;0)),1),"""")"),185.2)</f>
        <v>185.2</v>
      </c>
    </row>
    <row r="6">
      <c r="A6" s="17">
        <f>'Meal Log'!$A$2+4</f>
        <v>46200</v>
      </c>
      <c r="B6" s="20">
        <f>IF($A6="","",SUMIFS('Meal Log'!$E:$E,'Meal Log'!$A:$A,$A6))</f>
        <v>2030</v>
      </c>
      <c r="C6" s="20">
        <f>IF($A6="","",SUMIFS('Meal Log'!$F:$F,'Meal Log'!$A:$A,$A6))</f>
        <v>124</v>
      </c>
      <c r="D6" s="13">
        <f>IF($E6=0,"",ROUND(SUMIFS('Meal Log'!$G:$G,'Meal Log'!$A:$A,$A6)/$E6,1))</f>
        <v>9.4</v>
      </c>
      <c r="E6" s="13">
        <f>COUNTIF('Meal Log'!$A:$A,$A6)</f>
        <v>12</v>
      </c>
      <c r="F6" s="13">
        <f>IFERROR(VLOOKUP($A6,'Weight Log'!$A:$B,2,FALSE),"")</f>
        <v>181.8</v>
      </c>
      <c r="G6" s="13">
        <f>IFERROR(__xludf.DUMMYFUNCTION("IFERROR(ROUND(AVERAGE(FILTER($B$2:$B6,$A$2:$A6&gt;=$A6-6,$B$2:$B6&gt;0)),0),"""")"),2396.0)</f>
        <v>2396</v>
      </c>
      <c r="H6" s="13">
        <f>IFERROR(__xludf.DUMMYFUNCTION("IFERROR(ROUND(AVERAGE(FILTER($F$2:$F6,$A$2:$A6&gt;=$A6-6,$F$2:$F6&gt;0)),1),"""")"),184.4)</f>
        <v>184.4</v>
      </c>
    </row>
    <row r="7">
      <c r="A7" s="17">
        <f>'Meal Log'!$A$2+5</f>
        <v>46201</v>
      </c>
      <c r="B7" s="20">
        <f>IF($A7="","",SUMIFS('Meal Log'!$E:$E,'Meal Log'!$A:$A,$A7))</f>
        <v>1015</v>
      </c>
      <c r="C7" s="20">
        <f>IF($A7="","",SUMIFS('Meal Log'!$F:$F,'Meal Log'!$A:$A,$A7))</f>
        <v>57</v>
      </c>
      <c r="D7" s="13">
        <f>IF($E7=0,"",ROUND(SUMIFS('Meal Log'!$G:$G,'Meal Log'!$A:$A,$A7)/$E7,1))</f>
        <v>8.7</v>
      </c>
      <c r="E7" s="13">
        <f>COUNTIF('Meal Log'!$A:$A,$A7)</f>
        <v>4</v>
      </c>
      <c r="F7" s="13" t="str">
        <f>IFERROR(VLOOKUP($A7,'Weight Log'!$A:$B,2,FALSE),"")</f>
        <v/>
      </c>
      <c r="G7" s="13">
        <f>IFERROR(__xludf.DUMMYFUNCTION("IFERROR(ROUND(AVERAGE(FILTER($B$2:$B7,$A$2:$A7&gt;=$A7-6,$B$2:$B7&gt;0)),0),"""")"),2166.0)</f>
        <v>2166</v>
      </c>
      <c r="H7" s="13">
        <f>IFERROR(__xludf.DUMMYFUNCTION("IFERROR(ROUND(AVERAGE(FILTER($F$2:$F7,$A$2:$A7&gt;=$A7-6,$F$2:$F7&gt;0)),1),"""")"),184.4)</f>
        <v>184.4</v>
      </c>
    </row>
    <row r="8">
      <c r="A8" s="17">
        <f>'Meal Log'!$A$2+6</f>
        <v>46202</v>
      </c>
      <c r="B8" s="20">
        <f>IF($A8="","",SUMIFS('Meal Log'!$E:$E,'Meal Log'!$A:$A,$A8))</f>
        <v>0</v>
      </c>
      <c r="C8" s="20">
        <f>IF($A8="","",SUMIFS('Meal Log'!$F:$F,'Meal Log'!$A:$A,$A8))</f>
        <v>0</v>
      </c>
      <c r="D8" s="13" t="str">
        <f>IF($E8=0,"",ROUND(SUMIFS('Meal Log'!$G:$G,'Meal Log'!$A:$A,$A8)/$E8,1))</f>
        <v/>
      </c>
      <c r="E8" s="13">
        <f>COUNTIF('Meal Log'!$A:$A,$A8)</f>
        <v>0</v>
      </c>
      <c r="F8" s="13" t="str">
        <f>IFERROR(VLOOKUP($A8,'Weight Log'!$A:$B,2,FALSE),"")</f>
        <v/>
      </c>
      <c r="G8" s="13">
        <f>IFERROR(__xludf.DUMMYFUNCTION("IFERROR(ROUND(AVERAGE(FILTER($B$2:$B8,$A$2:$A8&gt;=$A8-6,$B$2:$B8&gt;0)),0),"""")"),2166.0)</f>
        <v>2166</v>
      </c>
      <c r="H8" s="13">
        <f>IFERROR(__xludf.DUMMYFUNCTION("IFERROR(ROUND(AVERAGE(FILTER($F$2:$F8,$A$2:$A8&gt;=$A8-6,$F$2:$F8&gt;0)),1),"""")"),184.4)</f>
        <v>184.4</v>
      </c>
    </row>
    <row r="9">
      <c r="A9" s="17">
        <f>'Meal Log'!$A$2+7</f>
        <v>46203</v>
      </c>
      <c r="B9" s="20">
        <f>IF($A9="","",SUMIFS('Meal Log'!$E:$E,'Meal Log'!$A:$A,$A9))</f>
        <v>0</v>
      </c>
      <c r="C9" s="20">
        <f>IF($A9="","",SUMIFS('Meal Log'!$F:$F,'Meal Log'!$A:$A,$A9))</f>
        <v>0</v>
      </c>
      <c r="D9" s="13" t="str">
        <f>IF($E9=0,"",ROUND(SUMIFS('Meal Log'!$G:$G,'Meal Log'!$A:$A,$A9)/$E9,1))</f>
        <v/>
      </c>
      <c r="E9" s="13">
        <f>COUNTIF('Meal Log'!$A:$A,$A9)</f>
        <v>0</v>
      </c>
      <c r="F9" s="13" t="str">
        <f>IFERROR(VLOOKUP($A9,'Weight Log'!$A:$B,2,FALSE),"")</f>
        <v/>
      </c>
      <c r="G9" s="13">
        <f>IFERROR(__xludf.DUMMYFUNCTION("IFERROR(ROUND(AVERAGE(FILTER($B$2:$B9,$A$2:$A9&gt;=$A9-6,$B$2:$B9&gt;0)),0),"""")"),1921.0)</f>
        <v>1921</v>
      </c>
      <c r="H9" s="13">
        <f>IFERROR(__xludf.DUMMYFUNCTION("IFERROR(ROUND(AVERAGE(FILTER($F$2:$F9,$A$2:$A9&gt;=$A9-6,$F$2:$F9&gt;0)),1),"""")"),183.7)</f>
        <v>183.7</v>
      </c>
    </row>
    <row r="10">
      <c r="A10" s="17">
        <f>'Meal Log'!$A$2+8</f>
        <v>46204</v>
      </c>
      <c r="B10" s="20">
        <f>IF($A10="","",SUMIFS('Meal Log'!$E:$E,'Meal Log'!$A:$A,$A10))</f>
        <v>0</v>
      </c>
      <c r="C10" s="20">
        <f>IF($A10="","",SUMIFS('Meal Log'!$F:$F,'Meal Log'!$A:$A,$A10))</f>
        <v>0</v>
      </c>
      <c r="D10" s="13" t="str">
        <f>IF($E10=0,"",ROUND(SUMIFS('Meal Log'!$G:$G,'Meal Log'!$A:$A,$A10)/$E10,1))</f>
        <v/>
      </c>
      <c r="E10" s="13">
        <f>COUNTIF('Meal Log'!$A:$A,$A10)</f>
        <v>0</v>
      </c>
      <c r="F10" s="13" t="str">
        <f>IFERROR(VLOOKUP($A10,'Weight Log'!$A:$B,2,FALSE),"")</f>
        <v/>
      </c>
      <c r="G10" s="13">
        <f>IFERROR(__xludf.DUMMYFUNCTION("IFERROR(ROUND(AVERAGE(FILTER($B$2:$B10,$A$2:$A10&gt;=$A10-6,$B$2:$B10&gt;0)),0),"""")"),1888.0)</f>
        <v>1888</v>
      </c>
      <c r="H10" s="13">
        <f>IFERROR(__xludf.DUMMYFUNCTION("IFERROR(ROUND(AVERAGE(FILTER($F$2:$F10,$A$2:$A10&gt;=$A10-6,$F$2:$F10&gt;0)),1),"""")"),182.9)</f>
        <v>182.9</v>
      </c>
    </row>
    <row r="11">
      <c r="A11" s="17">
        <f>'Meal Log'!$A$2+9</f>
        <v>46205</v>
      </c>
      <c r="B11" s="20">
        <f>IF($A11="","",SUMIFS('Meal Log'!$E:$E,'Meal Log'!$A:$A,$A11))</f>
        <v>0</v>
      </c>
      <c r="C11" s="20">
        <f>IF($A11="","",SUMIFS('Meal Log'!$F:$F,'Meal Log'!$A:$A,$A11))</f>
        <v>0</v>
      </c>
      <c r="D11" s="13" t="str">
        <f>IF($E11=0,"",ROUND(SUMIFS('Meal Log'!$G:$G,'Meal Log'!$A:$A,$A11)/$E11,1))</f>
        <v/>
      </c>
      <c r="E11" s="13">
        <f>COUNTIF('Meal Log'!$A:$A,$A11)</f>
        <v>0</v>
      </c>
      <c r="F11" s="13" t="str">
        <f>IFERROR(VLOOKUP($A11,'Weight Log'!$A:$B,2,FALSE),"")</f>
        <v/>
      </c>
      <c r="G11" s="13">
        <f>IFERROR(__xludf.DUMMYFUNCTION("IFERROR(ROUND(AVERAGE(FILTER($B$2:$B11,$A$2:$A11&gt;=$A11-6,$B$2:$B11&gt;0)),0),"""")"),1777.0)</f>
        <v>1777</v>
      </c>
      <c r="H11" s="13">
        <f>IFERROR(__xludf.DUMMYFUNCTION("IFERROR(ROUND(AVERAGE(FILTER($F$2:$F11,$A$2:$A11&gt;=$A11-6,$F$2:$F11&gt;0)),1),"""")"),181.8)</f>
        <v>181.8</v>
      </c>
    </row>
    <row r="12">
      <c r="A12" s="17">
        <f>'Meal Log'!$A$2+10</f>
        <v>46206</v>
      </c>
      <c r="B12" s="20">
        <f>IF($A12="","",SUMIFS('Meal Log'!$E:$E,'Meal Log'!$A:$A,$A12))</f>
        <v>0</v>
      </c>
      <c r="C12" s="20">
        <f>IF($A12="","",SUMIFS('Meal Log'!$F:$F,'Meal Log'!$A:$A,$A12))</f>
        <v>0</v>
      </c>
      <c r="D12" s="13" t="str">
        <f>IF($E12=0,"",ROUND(SUMIFS('Meal Log'!$G:$G,'Meal Log'!$A:$A,$A12)/$E12,1))</f>
        <v/>
      </c>
      <c r="E12" s="13">
        <f>COUNTIF('Meal Log'!$A:$A,$A12)</f>
        <v>0</v>
      </c>
      <c r="F12" s="13" t="str">
        <f>IFERROR(VLOOKUP($A12,'Weight Log'!$A:$B,2,FALSE),"")</f>
        <v/>
      </c>
      <c r="G12" s="13">
        <f>IFERROR(__xludf.DUMMYFUNCTION("IFERROR(ROUND(AVERAGE(FILTER($B$2:$B12,$A$2:$A12&gt;=$A12-6,$B$2:$B12&gt;0)),0),"""")"),1523.0)</f>
        <v>1523</v>
      </c>
      <c r="H12" s="13">
        <f>IFERROR(__xludf.DUMMYFUNCTION("IFERROR(ROUND(AVERAGE(FILTER($F$2:$F12,$A$2:$A12&gt;=$A12-6,$F$2:$F12&gt;0)),1),"""")"),181.8)</f>
        <v>181.8</v>
      </c>
    </row>
    <row r="13">
      <c r="A13" s="17">
        <f>'Meal Log'!$A$2+11</f>
        <v>46207</v>
      </c>
      <c r="B13" s="20">
        <f>IF($A13="","",SUMIFS('Meal Log'!$E:$E,'Meal Log'!$A:$A,$A13))</f>
        <v>0</v>
      </c>
      <c r="C13" s="20">
        <f>IF($A13="","",SUMIFS('Meal Log'!$F:$F,'Meal Log'!$A:$A,$A13))</f>
        <v>0</v>
      </c>
      <c r="D13" s="13" t="str">
        <f>IF($E13=0,"",ROUND(SUMIFS('Meal Log'!$G:$G,'Meal Log'!$A:$A,$A13)/$E13,1))</f>
        <v/>
      </c>
      <c r="E13" s="13">
        <f>COUNTIF('Meal Log'!$A:$A,$A13)</f>
        <v>0</v>
      </c>
      <c r="F13" s="13" t="str">
        <f>IFERROR(VLOOKUP($A13,'Weight Log'!$A:$B,2,FALSE),"")</f>
        <v/>
      </c>
      <c r="G13" s="13">
        <f>IFERROR(__xludf.DUMMYFUNCTION("IFERROR(ROUND(AVERAGE(FILTER($B$2:$B13,$A$2:$A13&gt;=$A13-6,$B$2:$B13&gt;0)),0),"""")"),1015.0)</f>
        <v>1015</v>
      </c>
      <c r="H13" s="13" t="str">
        <f>IFERROR(__xludf.DUMMYFUNCTION("IFERROR(ROUND(AVERAGE(FILTER($F$2:$F13,$A$2:$A13&gt;=$A13-6,$F$2:$F13&gt;0)),1),"""")"),"")</f>
        <v/>
      </c>
    </row>
    <row r="14">
      <c r="A14" s="17">
        <f>'Meal Log'!$A$2+12</f>
        <v>46208</v>
      </c>
      <c r="B14" s="20">
        <f>IF($A14="","",SUMIFS('Meal Log'!$E:$E,'Meal Log'!$A:$A,$A14))</f>
        <v>0</v>
      </c>
      <c r="C14" s="20">
        <f>IF($A14="","",SUMIFS('Meal Log'!$F:$F,'Meal Log'!$A:$A,$A14))</f>
        <v>0</v>
      </c>
      <c r="D14" s="13" t="str">
        <f>IF($E14=0,"",ROUND(SUMIFS('Meal Log'!$G:$G,'Meal Log'!$A:$A,$A14)/$E14,1))</f>
        <v/>
      </c>
      <c r="E14" s="13">
        <f>COUNTIF('Meal Log'!$A:$A,$A14)</f>
        <v>0</v>
      </c>
      <c r="F14" s="13" t="str">
        <f>IFERROR(VLOOKUP($A14,'Weight Log'!$A:$B,2,FALSE),"")</f>
        <v/>
      </c>
      <c r="G14" s="13" t="str">
        <f>IFERROR(__xludf.DUMMYFUNCTION("IFERROR(ROUND(AVERAGE(FILTER($B$2:$B14,$A$2:$A14&gt;=$A14-6,$B$2:$B14&gt;0)),0),"""")"),"")</f>
        <v/>
      </c>
      <c r="H14" s="13" t="str">
        <f>IFERROR(__xludf.DUMMYFUNCTION("IFERROR(ROUND(AVERAGE(FILTER($F$2:$F14,$A$2:$A14&gt;=$A14-6,$F$2:$F14&gt;0)),1),"""")"),"")</f>
        <v/>
      </c>
    </row>
    <row r="15">
      <c r="A15" s="17">
        <f>'Meal Log'!$A$2+13</f>
        <v>46209</v>
      </c>
      <c r="B15" s="20">
        <f>IF($A15="","",SUMIFS('Meal Log'!$E:$E,'Meal Log'!$A:$A,$A15))</f>
        <v>0</v>
      </c>
      <c r="C15" s="20">
        <f>IF($A15="","",SUMIFS('Meal Log'!$F:$F,'Meal Log'!$A:$A,$A15))</f>
        <v>0</v>
      </c>
      <c r="D15" s="13" t="str">
        <f>IF($E15=0,"",ROUND(SUMIFS('Meal Log'!$G:$G,'Meal Log'!$A:$A,$A15)/$E15,1))</f>
        <v/>
      </c>
      <c r="E15" s="13">
        <f>COUNTIF('Meal Log'!$A:$A,$A15)</f>
        <v>0</v>
      </c>
      <c r="F15" s="13" t="str">
        <f>IFERROR(VLOOKUP($A15,'Weight Log'!$A:$B,2,FALSE),"")</f>
        <v/>
      </c>
      <c r="G15" s="13" t="str">
        <f>IFERROR(__xludf.DUMMYFUNCTION("IFERROR(ROUND(AVERAGE(FILTER($B$2:$B15,$A$2:$A15&gt;=$A15-6,$B$2:$B15&gt;0)),0),"""")"),"")</f>
        <v/>
      </c>
      <c r="H15" s="13" t="str">
        <f>IFERROR(__xludf.DUMMYFUNCTION("IFERROR(ROUND(AVERAGE(FILTER($F$2:$F15,$A$2:$A15&gt;=$A15-6,$F$2:$F15&gt;0)),1),"""")"),"")</f>
        <v/>
      </c>
    </row>
    <row r="16">
      <c r="A16" s="17">
        <f>'Meal Log'!$A$2+14</f>
        <v>46210</v>
      </c>
      <c r="B16" s="20">
        <f>IF($A16="","",SUMIFS('Meal Log'!$E:$E,'Meal Log'!$A:$A,$A16))</f>
        <v>0</v>
      </c>
      <c r="C16" s="20">
        <f>IF($A16="","",SUMIFS('Meal Log'!$F:$F,'Meal Log'!$A:$A,$A16))</f>
        <v>0</v>
      </c>
      <c r="D16" s="13" t="str">
        <f>IF($E16=0,"",ROUND(SUMIFS('Meal Log'!$G:$G,'Meal Log'!$A:$A,$A16)/$E16,1))</f>
        <v/>
      </c>
      <c r="E16" s="13">
        <f>COUNTIF('Meal Log'!$A:$A,$A16)</f>
        <v>0</v>
      </c>
      <c r="F16" s="13" t="str">
        <f>IFERROR(VLOOKUP($A16,'Weight Log'!$A:$B,2,FALSE),"")</f>
        <v/>
      </c>
      <c r="G16" s="13" t="str">
        <f>IFERROR(__xludf.DUMMYFUNCTION("IFERROR(ROUND(AVERAGE(FILTER($B$2:$B16,$A$2:$A16&gt;=$A16-6,$B$2:$B16&gt;0)),0),"""")"),"")</f>
        <v/>
      </c>
      <c r="H16" s="13" t="str">
        <f>IFERROR(__xludf.DUMMYFUNCTION("IFERROR(ROUND(AVERAGE(FILTER($F$2:$F16,$A$2:$A16&gt;=$A16-6,$F$2:$F16&gt;0)),1),"""")"),"")</f>
        <v/>
      </c>
    </row>
    <row r="17">
      <c r="A17" s="17">
        <f>'Meal Log'!$A$2+15</f>
        <v>46211</v>
      </c>
      <c r="B17" s="20">
        <f>IF($A17="","",SUMIFS('Meal Log'!$E:$E,'Meal Log'!$A:$A,$A17))</f>
        <v>0</v>
      </c>
      <c r="C17" s="20">
        <f>IF($A17="","",SUMIFS('Meal Log'!$F:$F,'Meal Log'!$A:$A,$A17))</f>
        <v>0</v>
      </c>
      <c r="D17" s="13" t="str">
        <f>IF($E17=0,"",ROUND(SUMIFS('Meal Log'!$G:$G,'Meal Log'!$A:$A,$A17)/$E17,1))</f>
        <v/>
      </c>
      <c r="E17" s="13">
        <f>COUNTIF('Meal Log'!$A:$A,$A17)</f>
        <v>0</v>
      </c>
      <c r="F17" s="13" t="str">
        <f>IFERROR(VLOOKUP($A17,'Weight Log'!$A:$B,2,FALSE),"")</f>
        <v/>
      </c>
      <c r="G17" s="13" t="str">
        <f>IFERROR(__xludf.DUMMYFUNCTION("IFERROR(ROUND(AVERAGE(FILTER($B$2:$B17,$A$2:$A17&gt;=$A17-6,$B$2:$B17&gt;0)),0),"""")"),"")</f>
        <v/>
      </c>
      <c r="H17" s="13" t="str">
        <f>IFERROR(__xludf.DUMMYFUNCTION("IFERROR(ROUND(AVERAGE(FILTER($F$2:$F17,$A$2:$A17&gt;=$A17-6,$F$2:$F17&gt;0)),1),"""")"),"")</f>
        <v/>
      </c>
    </row>
    <row r="18">
      <c r="A18" s="17">
        <f>'Meal Log'!$A$2+16</f>
        <v>46212</v>
      </c>
      <c r="B18" s="20">
        <f>IF($A18="","",SUMIFS('Meal Log'!$E:$E,'Meal Log'!$A:$A,$A18))</f>
        <v>0</v>
      </c>
      <c r="C18" s="20">
        <f>IF($A18="","",SUMIFS('Meal Log'!$F:$F,'Meal Log'!$A:$A,$A18))</f>
        <v>0</v>
      </c>
      <c r="D18" s="13" t="str">
        <f>IF($E18=0,"",ROUND(SUMIFS('Meal Log'!$G:$G,'Meal Log'!$A:$A,$A18)/$E18,1))</f>
        <v/>
      </c>
      <c r="E18" s="13">
        <f>COUNTIF('Meal Log'!$A:$A,$A18)</f>
        <v>0</v>
      </c>
      <c r="F18" s="13" t="str">
        <f>IFERROR(VLOOKUP($A18,'Weight Log'!$A:$B,2,FALSE),"")</f>
        <v/>
      </c>
      <c r="G18" s="13" t="str">
        <f>IFERROR(__xludf.DUMMYFUNCTION("IFERROR(ROUND(AVERAGE(FILTER($B$2:$B18,$A$2:$A18&gt;=$A18-6,$B$2:$B18&gt;0)),0),"""")"),"")</f>
        <v/>
      </c>
      <c r="H18" s="13" t="str">
        <f>IFERROR(__xludf.DUMMYFUNCTION("IFERROR(ROUND(AVERAGE(FILTER($F$2:$F18,$A$2:$A18&gt;=$A18-6,$F$2:$F18&gt;0)),1),"""")"),"")</f>
        <v/>
      </c>
    </row>
    <row r="19">
      <c r="A19" s="17">
        <f>'Meal Log'!$A$2+17</f>
        <v>46213</v>
      </c>
      <c r="B19" s="20">
        <f>IF($A19="","",SUMIFS('Meal Log'!$E:$E,'Meal Log'!$A:$A,$A19))</f>
        <v>0</v>
      </c>
      <c r="C19" s="20">
        <f>IF($A19="","",SUMIFS('Meal Log'!$F:$F,'Meal Log'!$A:$A,$A19))</f>
        <v>0</v>
      </c>
      <c r="D19" s="13" t="str">
        <f>IF($E19=0,"",ROUND(SUMIFS('Meal Log'!$G:$G,'Meal Log'!$A:$A,$A19)/$E19,1))</f>
        <v/>
      </c>
      <c r="E19" s="13">
        <f>COUNTIF('Meal Log'!$A:$A,$A19)</f>
        <v>0</v>
      </c>
      <c r="F19" s="13" t="str">
        <f>IFERROR(VLOOKUP($A19,'Weight Log'!$A:$B,2,FALSE),"")</f>
        <v/>
      </c>
      <c r="G19" s="13" t="str">
        <f>IFERROR(__xludf.DUMMYFUNCTION("IFERROR(ROUND(AVERAGE(FILTER($B$2:$B19,$A$2:$A19&gt;=$A19-6,$B$2:$B19&gt;0)),0),"""")"),"")</f>
        <v/>
      </c>
      <c r="H19" s="13" t="str">
        <f>IFERROR(__xludf.DUMMYFUNCTION("IFERROR(ROUND(AVERAGE(FILTER($F$2:$F19,$A$2:$A19&gt;=$A19-6,$F$2:$F19&gt;0)),1),"""")"),"")</f>
        <v/>
      </c>
    </row>
    <row r="20">
      <c r="A20" s="17">
        <f>'Meal Log'!$A$2+18</f>
        <v>46214</v>
      </c>
      <c r="B20" s="20">
        <f>IF($A20="","",SUMIFS('Meal Log'!$E:$E,'Meal Log'!$A:$A,$A20))</f>
        <v>0</v>
      </c>
      <c r="C20" s="20">
        <f>IF($A20="","",SUMIFS('Meal Log'!$F:$F,'Meal Log'!$A:$A,$A20))</f>
        <v>0</v>
      </c>
      <c r="D20" s="13" t="str">
        <f>IF($E20=0,"",ROUND(SUMIFS('Meal Log'!$G:$G,'Meal Log'!$A:$A,$A20)/$E20,1))</f>
        <v/>
      </c>
      <c r="E20" s="13">
        <f>COUNTIF('Meal Log'!$A:$A,$A20)</f>
        <v>0</v>
      </c>
      <c r="F20" s="13" t="str">
        <f>IFERROR(VLOOKUP($A20,'Weight Log'!$A:$B,2,FALSE),"")</f>
        <v/>
      </c>
      <c r="G20" s="13" t="str">
        <f>IFERROR(__xludf.DUMMYFUNCTION("IFERROR(ROUND(AVERAGE(FILTER($B$2:$B20,$A$2:$A20&gt;=$A20-6,$B$2:$B20&gt;0)),0),"""")"),"")</f>
        <v/>
      </c>
      <c r="H20" s="13" t="str">
        <f>IFERROR(__xludf.DUMMYFUNCTION("IFERROR(ROUND(AVERAGE(FILTER($F$2:$F20,$A$2:$A20&gt;=$A20-6,$F$2:$F20&gt;0)),1),"""")"),"")</f>
        <v/>
      </c>
    </row>
    <row r="21" ht="15.75" customHeight="1">
      <c r="A21" s="17">
        <f>'Meal Log'!$A$2+19</f>
        <v>46215</v>
      </c>
      <c r="B21" s="20">
        <f>IF($A21="","",SUMIFS('Meal Log'!$E:$E,'Meal Log'!$A:$A,$A21))</f>
        <v>0</v>
      </c>
      <c r="C21" s="20">
        <f>IF($A21="","",SUMIFS('Meal Log'!$F:$F,'Meal Log'!$A:$A,$A21))</f>
        <v>0</v>
      </c>
      <c r="D21" s="13" t="str">
        <f>IF($E21=0,"",ROUND(SUMIFS('Meal Log'!$G:$G,'Meal Log'!$A:$A,$A21)/$E21,1))</f>
        <v/>
      </c>
      <c r="E21" s="13">
        <f>COUNTIF('Meal Log'!$A:$A,$A21)</f>
        <v>0</v>
      </c>
      <c r="F21" s="13" t="str">
        <f>IFERROR(VLOOKUP($A21,'Weight Log'!$A:$B,2,FALSE),"")</f>
        <v/>
      </c>
      <c r="G21" s="13" t="str">
        <f>IFERROR(__xludf.DUMMYFUNCTION("IFERROR(ROUND(AVERAGE(FILTER($B$2:$B21,$A$2:$A21&gt;=$A21-6,$B$2:$B21&gt;0)),0),"""")"),"")</f>
        <v/>
      </c>
      <c r="H21" s="13" t="str">
        <f>IFERROR(__xludf.DUMMYFUNCTION("IFERROR(ROUND(AVERAGE(FILTER($F$2:$F21,$A$2:$A21&gt;=$A21-6,$F$2:$F21&gt;0)),1),"""")"),"")</f>
        <v/>
      </c>
    </row>
    <row r="22" ht="15.75" customHeight="1">
      <c r="A22" s="17">
        <f>'Meal Log'!$A$2+20</f>
        <v>46216</v>
      </c>
      <c r="B22" s="20">
        <f>IF($A22="","",SUMIFS('Meal Log'!$E:$E,'Meal Log'!$A:$A,$A22))</f>
        <v>0</v>
      </c>
      <c r="C22" s="20">
        <f>IF($A22="","",SUMIFS('Meal Log'!$F:$F,'Meal Log'!$A:$A,$A22))</f>
        <v>0</v>
      </c>
      <c r="D22" s="13" t="str">
        <f>IF($E22=0,"",ROUND(SUMIFS('Meal Log'!$G:$G,'Meal Log'!$A:$A,$A22)/$E22,1))</f>
        <v/>
      </c>
      <c r="E22" s="13">
        <f>COUNTIF('Meal Log'!$A:$A,$A22)</f>
        <v>0</v>
      </c>
      <c r="F22" s="13" t="str">
        <f>IFERROR(VLOOKUP($A22,'Weight Log'!$A:$B,2,FALSE),"")</f>
        <v/>
      </c>
      <c r="G22" s="13" t="str">
        <f>IFERROR(__xludf.DUMMYFUNCTION("IFERROR(ROUND(AVERAGE(FILTER($B$2:$B22,$A$2:$A22&gt;=$A22-6,$B$2:$B22&gt;0)),0),"""")"),"")</f>
        <v/>
      </c>
      <c r="H22" s="13" t="str">
        <f>IFERROR(__xludf.DUMMYFUNCTION("IFERROR(ROUND(AVERAGE(FILTER($F$2:$F22,$A$2:$A22&gt;=$A22-6,$F$2:$F22&gt;0)),1),"""")"),"")</f>
        <v/>
      </c>
    </row>
    <row r="23" ht="15.75" customHeight="1">
      <c r="A23" s="17">
        <f>'Meal Log'!$A$2+21</f>
        <v>46217</v>
      </c>
      <c r="B23" s="20">
        <f>IF($A23="","",SUMIFS('Meal Log'!$E:$E,'Meal Log'!$A:$A,$A23))</f>
        <v>0</v>
      </c>
      <c r="C23" s="20">
        <f>IF($A23="","",SUMIFS('Meal Log'!$F:$F,'Meal Log'!$A:$A,$A23))</f>
        <v>0</v>
      </c>
      <c r="D23" s="13" t="str">
        <f>IF($E23=0,"",ROUND(SUMIFS('Meal Log'!$G:$G,'Meal Log'!$A:$A,$A23)/$E23,1))</f>
        <v/>
      </c>
      <c r="E23" s="13">
        <f>COUNTIF('Meal Log'!$A:$A,$A23)</f>
        <v>0</v>
      </c>
      <c r="F23" s="13" t="str">
        <f>IFERROR(VLOOKUP($A23,'Weight Log'!$A:$B,2,FALSE),"")</f>
        <v/>
      </c>
      <c r="G23" s="13" t="str">
        <f>IFERROR(__xludf.DUMMYFUNCTION("IFERROR(ROUND(AVERAGE(FILTER($B$2:$B23,$A$2:$A23&gt;=$A23-6,$B$2:$B23&gt;0)),0),"""")"),"")</f>
        <v/>
      </c>
      <c r="H23" s="13" t="str">
        <f>IFERROR(__xludf.DUMMYFUNCTION("IFERROR(ROUND(AVERAGE(FILTER($F$2:$F23,$A$2:$A23&gt;=$A23-6,$F$2:$F23&gt;0)),1),"""")"),"")</f>
        <v/>
      </c>
    </row>
    <row r="24" ht="15.75" customHeight="1">
      <c r="A24" s="17">
        <f>'Meal Log'!$A$2+22</f>
        <v>46218</v>
      </c>
      <c r="B24" s="20">
        <f>IF($A24="","",SUMIFS('Meal Log'!$E:$E,'Meal Log'!$A:$A,$A24))</f>
        <v>0</v>
      </c>
      <c r="C24" s="20">
        <f>IF($A24="","",SUMIFS('Meal Log'!$F:$F,'Meal Log'!$A:$A,$A24))</f>
        <v>0</v>
      </c>
      <c r="D24" s="13" t="str">
        <f>IF($E24=0,"",ROUND(SUMIFS('Meal Log'!$G:$G,'Meal Log'!$A:$A,$A24)/$E24,1))</f>
        <v/>
      </c>
      <c r="E24" s="13">
        <f>COUNTIF('Meal Log'!$A:$A,$A24)</f>
        <v>0</v>
      </c>
      <c r="F24" s="13" t="str">
        <f>IFERROR(VLOOKUP($A24,'Weight Log'!$A:$B,2,FALSE),"")</f>
        <v/>
      </c>
      <c r="G24" s="13" t="str">
        <f>IFERROR(__xludf.DUMMYFUNCTION("IFERROR(ROUND(AVERAGE(FILTER($B$2:$B24,$A$2:$A24&gt;=$A24-6,$B$2:$B24&gt;0)),0),"""")"),"")</f>
        <v/>
      </c>
      <c r="H24" s="13" t="str">
        <f>IFERROR(__xludf.DUMMYFUNCTION("IFERROR(ROUND(AVERAGE(FILTER($F$2:$F24,$A$2:$A24&gt;=$A24-6,$F$2:$F24&gt;0)),1),"""")"),"")</f>
        <v/>
      </c>
    </row>
    <row r="25" ht="15.75" customHeight="1">
      <c r="A25" s="17">
        <f>'Meal Log'!$A$2+23</f>
        <v>46219</v>
      </c>
      <c r="B25" s="20">
        <f>IF($A25="","",SUMIFS('Meal Log'!$E:$E,'Meal Log'!$A:$A,$A25))</f>
        <v>0</v>
      </c>
      <c r="C25" s="20">
        <f>IF($A25="","",SUMIFS('Meal Log'!$F:$F,'Meal Log'!$A:$A,$A25))</f>
        <v>0</v>
      </c>
      <c r="D25" s="13" t="str">
        <f>IF($E25=0,"",ROUND(SUMIFS('Meal Log'!$G:$G,'Meal Log'!$A:$A,$A25)/$E25,1))</f>
        <v/>
      </c>
      <c r="E25" s="13">
        <f>COUNTIF('Meal Log'!$A:$A,$A25)</f>
        <v>0</v>
      </c>
      <c r="F25" s="13" t="str">
        <f>IFERROR(VLOOKUP($A25,'Weight Log'!$A:$B,2,FALSE),"")</f>
        <v/>
      </c>
      <c r="G25" s="13" t="str">
        <f>IFERROR(__xludf.DUMMYFUNCTION("IFERROR(ROUND(AVERAGE(FILTER($B$2:$B25,$A$2:$A25&gt;=$A25-6,$B$2:$B25&gt;0)),0),"""")"),"")</f>
        <v/>
      </c>
      <c r="H25" s="13" t="str">
        <f>IFERROR(__xludf.DUMMYFUNCTION("IFERROR(ROUND(AVERAGE(FILTER($F$2:$F25,$A$2:$A25&gt;=$A25-6,$F$2:$F25&gt;0)),1),"""")"),"")</f>
        <v/>
      </c>
    </row>
    <row r="26" ht="15.75" customHeight="1">
      <c r="A26" s="17">
        <f>'Meal Log'!$A$2+24</f>
        <v>46220</v>
      </c>
      <c r="B26" s="20">
        <f>IF($A26="","",SUMIFS('Meal Log'!$E:$E,'Meal Log'!$A:$A,$A26))</f>
        <v>0</v>
      </c>
      <c r="C26" s="20">
        <f>IF($A26="","",SUMIFS('Meal Log'!$F:$F,'Meal Log'!$A:$A,$A26))</f>
        <v>0</v>
      </c>
      <c r="D26" s="13" t="str">
        <f>IF($E26=0,"",ROUND(SUMIFS('Meal Log'!$G:$G,'Meal Log'!$A:$A,$A26)/$E26,1))</f>
        <v/>
      </c>
      <c r="E26" s="13">
        <f>COUNTIF('Meal Log'!$A:$A,$A26)</f>
        <v>0</v>
      </c>
      <c r="F26" s="13" t="str">
        <f>IFERROR(VLOOKUP($A26,'Weight Log'!$A:$B,2,FALSE),"")</f>
        <v/>
      </c>
      <c r="G26" s="13" t="str">
        <f>IFERROR(__xludf.DUMMYFUNCTION("IFERROR(ROUND(AVERAGE(FILTER($B$2:$B26,$A$2:$A26&gt;=$A26-6,$B$2:$B26&gt;0)),0),"""")"),"")</f>
        <v/>
      </c>
      <c r="H26" s="13" t="str">
        <f>IFERROR(__xludf.DUMMYFUNCTION("IFERROR(ROUND(AVERAGE(FILTER($F$2:$F26,$A$2:$A26&gt;=$A26-6,$F$2:$F26&gt;0)),1),"""")"),"")</f>
        <v/>
      </c>
    </row>
    <row r="27" ht="15.75" customHeight="1">
      <c r="A27" s="17">
        <f>'Meal Log'!$A$2+25</f>
        <v>46221</v>
      </c>
      <c r="B27" s="20">
        <f>IF($A27="","",SUMIFS('Meal Log'!$E:$E,'Meal Log'!$A:$A,$A27))</f>
        <v>0</v>
      </c>
      <c r="C27" s="20">
        <f>IF($A27="","",SUMIFS('Meal Log'!$F:$F,'Meal Log'!$A:$A,$A27))</f>
        <v>0</v>
      </c>
      <c r="D27" s="13" t="str">
        <f>IF($E27=0,"",ROUND(SUMIFS('Meal Log'!$G:$G,'Meal Log'!$A:$A,$A27)/$E27,1))</f>
        <v/>
      </c>
      <c r="E27" s="13">
        <f>COUNTIF('Meal Log'!$A:$A,$A27)</f>
        <v>0</v>
      </c>
      <c r="F27" s="13" t="str">
        <f>IFERROR(VLOOKUP($A27,'Weight Log'!$A:$B,2,FALSE),"")</f>
        <v/>
      </c>
      <c r="G27" s="13" t="str">
        <f>IFERROR(__xludf.DUMMYFUNCTION("IFERROR(ROUND(AVERAGE(FILTER($B$2:$B27,$A$2:$A27&gt;=$A27-6,$B$2:$B27&gt;0)),0),"""")"),"")</f>
        <v/>
      </c>
      <c r="H27" s="13" t="str">
        <f>IFERROR(__xludf.DUMMYFUNCTION("IFERROR(ROUND(AVERAGE(FILTER($F$2:$F27,$A$2:$A27&gt;=$A27-6,$F$2:$F27&gt;0)),1),"""")"),"")</f>
        <v/>
      </c>
    </row>
    <row r="28" ht="15.75" customHeight="1">
      <c r="A28" s="17">
        <f>'Meal Log'!$A$2+26</f>
        <v>46222</v>
      </c>
      <c r="B28" s="20">
        <f>IF($A28="","",SUMIFS('Meal Log'!$E:$E,'Meal Log'!$A:$A,$A28))</f>
        <v>0</v>
      </c>
      <c r="C28" s="20">
        <f>IF($A28="","",SUMIFS('Meal Log'!$F:$F,'Meal Log'!$A:$A,$A28))</f>
        <v>0</v>
      </c>
      <c r="D28" s="13" t="str">
        <f>IF($E28=0,"",ROUND(SUMIFS('Meal Log'!$G:$G,'Meal Log'!$A:$A,$A28)/$E28,1))</f>
        <v/>
      </c>
      <c r="E28" s="13">
        <f>COUNTIF('Meal Log'!$A:$A,$A28)</f>
        <v>0</v>
      </c>
      <c r="F28" s="13" t="str">
        <f>IFERROR(VLOOKUP($A28,'Weight Log'!$A:$B,2,FALSE),"")</f>
        <v/>
      </c>
      <c r="G28" s="13" t="str">
        <f>IFERROR(__xludf.DUMMYFUNCTION("IFERROR(ROUND(AVERAGE(FILTER($B$2:$B28,$A$2:$A28&gt;=$A28-6,$B$2:$B28&gt;0)),0),"""")"),"")</f>
        <v/>
      </c>
      <c r="H28" s="13" t="str">
        <f>IFERROR(__xludf.DUMMYFUNCTION("IFERROR(ROUND(AVERAGE(FILTER($F$2:$F28,$A$2:$A28&gt;=$A28-6,$F$2:$F28&gt;0)),1),"""")"),"")</f>
        <v/>
      </c>
    </row>
    <row r="29" ht="15.75" customHeight="1">
      <c r="A29" s="17">
        <f>'Meal Log'!$A$2+27</f>
        <v>46223</v>
      </c>
      <c r="B29" s="20">
        <f>IF($A29="","",SUMIFS('Meal Log'!$E:$E,'Meal Log'!$A:$A,$A29))</f>
        <v>0</v>
      </c>
      <c r="C29" s="20">
        <f>IF($A29="","",SUMIFS('Meal Log'!$F:$F,'Meal Log'!$A:$A,$A29))</f>
        <v>0</v>
      </c>
      <c r="D29" s="13" t="str">
        <f>IF($E29=0,"",ROUND(SUMIFS('Meal Log'!$G:$G,'Meal Log'!$A:$A,$A29)/$E29,1))</f>
        <v/>
      </c>
      <c r="E29" s="13">
        <f>COUNTIF('Meal Log'!$A:$A,$A29)</f>
        <v>0</v>
      </c>
      <c r="F29" s="13" t="str">
        <f>IFERROR(VLOOKUP($A29,'Weight Log'!$A:$B,2,FALSE),"")</f>
        <v/>
      </c>
      <c r="G29" s="13" t="str">
        <f>IFERROR(__xludf.DUMMYFUNCTION("IFERROR(ROUND(AVERAGE(FILTER($B$2:$B29,$A$2:$A29&gt;=$A29-6,$B$2:$B29&gt;0)),0),"""")"),"")</f>
        <v/>
      </c>
      <c r="H29" s="13" t="str">
        <f>IFERROR(__xludf.DUMMYFUNCTION("IFERROR(ROUND(AVERAGE(FILTER($F$2:$F29,$A$2:$A29&gt;=$A29-6,$F$2:$F29&gt;0)),1),"""")"),"")</f>
        <v/>
      </c>
    </row>
    <row r="30" ht="15.75" customHeight="1">
      <c r="A30" s="17">
        <f>'Meal Log'!$A$2+28</f>
        <v>46224</v>
      </c>
      <c r="B30" s="20">
        <f>IF($A30="","",SUMIFS('Meal Log'!$E:$E,'Meal Log'!$A:$A,$A30))</f>
        <v>0</v>
      </c>
      <c r="C30" s="20">
        <f>IF($A30="","",SUMIFS('Meal Log'!$F:$F,'Meal Log'!$A:$A,$A30))</f>
        <v>0</v>
      </c>
      <c r="D30" s="13" t="str">
        <f>IF($E30=0,"",ROUND(SUMIFS('Meal Log'!$G:$G,'Meal Log'!$A:$A,$A30)/$E30,1))</f>
        <v/>
      </c>
      <c r="E30" s="13">
        <f>COUNTIF('Meal Log'!$A:$A,$A30)</f>
        <v>0</v>
      </c>
      <c r="F30" s="13" t="str">
        <f>IFERROR(VLOOKUP($A30,'Weight Log'!$A:$B,2,FALSE),"")</f>
        <v/>
      </c>
      <c r="G30" s="13" t="str">
        <f>IFERROR(__xludf.DUMMYFUNCTION("IFERROR(ROUND(AVERAGE(FILTER($B$2:$B30,$A$2:$A30&gt;=$A30-6,$B$2:$B30&gt;0)),0),"""")"),"")</f>
        <v/>
      </c>
      <c r="H30" s="13" t="str">
        <f>IFERROR(__xludf.DUMMYFUNCTION("IFERROR(ROUND(AVERAGE(FILTER($F$2:$F30,$A$2:$A30&gt;=$A30-6,$F$2:$F30&gt;0)),1),"""")"),"")</f>
        <v/>
      </c>
    </row>
    <row r="31" ht="15.75" customHeight="1">
      <c r="A31" s="17">
        <f>'Meal Log'!$A$2+29</f>
        <v>46225</v>
      </c>
      <c r="B31" s="20">
        <f>IF($A31="","",SUMIFS('Meal Log'!$E:$E,'Meal Log'!$A:$A,$A31))</f>
        <v>0</v>
      </c>
      <c r="C31" s="20">
        <f>IF($A31="","",SUMIFS('Meal Log'!$F:$F,'Meal Log'!$A:$A,$A31))</f>
        <v>0</v>
      </c>
      <c r="D31" s="13" t="str">
        <f>IF($E31=0,"",ROUND(SUMIFS('Meal Log'!$G:$G,'Meal Log'!$A:$A,$A31)/$E31,1))</f>
        <v/>
      </c>
      <c r="E31" s="13">
        <f>COUNTIF('Meal Log'!$A:$A,$A31)</f>
        <v>0</v>
      </c>
      <c r="F31" s="13" t="str">
        <f>IFERROR(VLOOKUP($A31,'Weight Log'!$A:$B,2,FALSE),"")</f>
        <v/>
      </c>
      <c r="G31" s="13" t="str">
        <f>IFERROR(__xludf.DUMMYFUNCTION("IFERROR(ROUND(AVERAGE(FILTER($B$2:$B31,$A$2:$A31&gt;=$A31-6,$B$2:$B31&gt;0)),0),"""")"),"")</f>
        <v/>
      </c>
      <c r="H31" s="13" t="str">
        <f>IFERROR(__xludf.DUMMYFUNCTION("IFERROR(ROUND(AVERAGE(FILTER($F$2:$F31,$A$2:$A31&gt;=$A31-6,$F$2:$F31&gt;0)),1),"""")"),"")</f>
        <v/>
      </c>
    </row>
    <row r="32" ht="15.75" customHeight="1">
      <c r="A32" s="17">
        <f>'Meal Log'!$A$2+30</f>
        <v>46226</v>
      </c>
      <c r="B32" s="20">
        <f>IF($A32="","",SUMIFS('Meal Log'!$E:$E,'Meal Log'!$A:$A,$A32))</f>
        <v>0</v>
      </c>
      <c r="C32" s="20">
        <f>IF($A32="","",SUMIFS('Meal Log'!$F:$F,'Meal Log'!$A:$A,$A32))</f>
        <v>0</v>
      </c>
      <c r="D32" s="13" t="str">
        <f>IF($E32=0,"",ROUND(SUMIFS('Meal Log'!$G:$G,'Meal Log'!$A:$A,$A32)/$E32,1))</f>
        <v/>
      </c>
      <c r="E32" s="13">
        <f>COUNTIF('Meal Log'!$A:$A,$A32)</f>
        <v>0</v>
      </c>
      <c r="F32" s="13" t="str">
        <f>IFERROR(VLOOKUP($A32,'Weight Log'!$A:$B,2,FALSE),"")</f>
        <v/>
      </c>
      <c r="G32" s="13" t="str">
        <f>IFERROR(__xludf.DUMMYFUNCTION("IFERROR(ROUND(AVERAGE(FILTER($B$2:$B32,$A$2:$A32&gt;=$A32-6,$B$2:$B32&gt;0)),0),"""")"),"")</f>
        <v/>
      </c>
      <c r="H32" s="13" t="str">
        <f>IFERROR(__xludf.DUMMYFUNCTION("IFERROR(ROUND(AVERAGE(FILTER($F$2:$F32,$A$2:$A32&gt;=$A32-6,$F$2:$F32&gt;0)),1),"""")"),"")</f>
        <v/>
      </c>
    </row>
    <row r="33" ht="15.75" customHeight="1">
      <c r="A33" s="17">
        <f>'Meal Log'!$A$2+31</f>
        <v>46227</v>
      </c>
      <c r="B33" s="20">
        <f>IF($A33="","",SUMIFS('Meal Log'!$E:$E,'Meal Log'!$A:$A,$A33))</f>
        <v>0</v>
      </c>
      <c r="C33" s="20">
        <f>IF($A33="","",SUMIFS('Meal Log'!$F:$F,'Meal Log'!$A:$A,$A33))</f>
        <v>0</v>
      </c>
      <c r="D33" s="13" t="str">
        <f>IF($E33=0,"",ROUND(SUMIFS('Meal Log'!$G:$G,'Meal Log'!$A:$A,$A33)/$E33,1))</f>
        <v/>
      </c>
      <c r="E33" s="13">
        <f>COUNTIF('Meal Log'!$A:$A,$A33)</f>
        <v>0</v>
      </c>
      <c r="F33" s="13" t="str">
        <f>IFERROR(VLOOKUP($A33,'Weight Log'!$A:$B,2,FALSE),"")</f>
        <v/>
      </c>
      <c r="G33" s="13" t="str">
        <f>IFERROR(__xludf.DUMMYFUNCTION("IFERROR(ROUND(AVERAGE(FILTER($B$2:$B33,$A$2:$A33&gt;=$A33-6,$B$2:$B33&gt;0)),0),"""")"),"")</f>
        <v/>
      </c>
      <c r="H33" s="13" t="str">
        <f>IFERROR(__xludf.DUMMYFUNCTION("IFERROR(ROUND(AVERAGE(FILTER($F$2:$F33,$A$2:$A33&gt;=$A33-6,$F$2:$F33&gt;0)),1),"""")"),"")</f>
        <v/>
      </c>
    </row>
    <row r="34" ht="15.75" customHeight="1">
      <c r="A34" s="17">
        <f>'Meal Log'!$A$2+32</f>
        <v>46228</v>
      </c>
      <c r="B34" s="20">
        <f>IF($A34="","",SUMIFS('Meal Log'!$E:$E,'Meal Log'!$A:$A,$A34))</f>
        <v>0</v>
      </c>
      <c r="C34" s="20">
        <f>IF($A34="","",SUMIFS('Meal Log'!$F:$F,'Meal Log'!$A:$A,$A34))</f>
        <v>0</v>
      </c>
      <c r="D34" s="13" t="str">
        <f>IF($E34=0,"",ROUND(SUMIFS('Meal Log'!$G:$G,'Meal Log'!$A:$A,$A34)/$E34,1))</f>
        <v/>
      </c>
      <c r="E34" s="13">
        <f>COUNTIF('Meal Log'!$A:$A,$A34)</f>
        <v>0</v>
      </c>
      <c r="F34" s="13" t="str">
        <f>IFERROR(VLOOKUP($A34,'Weight Log'!$A:$B,2,FALSE),"")</f>
        <v/>
      </c>
      <c r="G34" s="13" t="str">
        <f>IFERROR(__xludf.DUMMYFUNCTION("IFERROR(ROUND(AVERAGE(FILTER($B$2:$B34,$A$2:$A34&gt;=$A34-6,$B$2:$B34&gt;0)),0),"""")"),"")</f>
        <v/>
      </c>
      <c r="H34" s="13" t="str">
        <f>IFERROR(__xludf.DUMMYFUNCTION("IFERROR(ROUND(AVERAGE(FILTER($F$2:$F34,$A$2:$A34&gt;=$A34-6,$F$2:$F34&gt;0)),1),"""")"),"")</f>
        <v/>
      </c>
    </row>
    <row r="35" ht="15.75" customHeight="1">
      <c r="A35" s="17">
        <f>'Meal Log'!$A$2+33</f>
        <v>46229</v>
      </c>
      <c r="B35" s="20">
        <f>IF($A35="","",SUMIFS('Meal Log'!$E:$E,'Meal Log'!$A:$A,$A35))</f>
        <v>0</v>
      </c>
      <c r="C35" s="20">
        <f>IF($A35="","",SUMIFS('Meal Log'!$F:$F,'Meal Log'!$A:$A,$A35))</f>
        <v>0</v>
      </c>
      <c r="D35" s="13" t="str">
        <f>IF($E35=0,"",ROUND(SUMIFS('Meal Log'!$G:$G,'Meal Log'!$A:$A,$A35)/$E35,1))</f>
        <v/>
      </c>
      <c r="E35" s="13">
        <f>COUNTIF('Meal Log'!$A:$A,$A35)</f>
        <v>0</v>
      </c>
      <c r="F35" s="13" t="str">
        <f>IFERROR(VLOOKUP($A35,'Weight Log'!$A:$B,2,FALSE),"")</f>
        <v/>
      </c>
      <c r="G35" s="13" t="str">
        <f>IFERROR(__xludf.DUMMYFUNCTION("IFERROR(ROUND(AVERAGE(FILTER($B$2:$B35,$A$2:$A35&gt;=$A35-6,$B$2:$B35&gt;0)),0),"""")"),"")</f>
        <v/>
      </c>
      <c r="H35" s="13" t="str">
        <f>IFERROR(__xludf.DUMMYFUNCTION("IFERROR(ROUND(AVERAGE(FILTER($F$2:$F35,$A$2:$A35&gt;=$A35-6,$F$2:$F35&gt;0)),1),"""")"),"")</f>
        <v/>
      </c>
    </row>
    <row r="36" ht="15.75" customHeight="1">
      <c r="A36" s="17">
        <f>'Meal Log'!$A$2+34</f>
        <v>46230</v>
      </c>
      <c r="B36" s="20">
        <f>IF($A36="","",SUMIFS('Meal Log'!$E:$E,'Meal Log'!$A:$A,$A36))</f>
        <v>0</v>
      </c>
      <c r="C36" s="20">
        <f>IF($A36="","",SUMIFS('Meal Log'!$F:$F,'Meal Log'!$A:$A,$A36))</f>
        <v>0</v>
      </c>
      <c r="D36" s="13" t="str">
        <f>IF($E36=0,"",ROUND(SUMIFS('Meal Log'!$G:$G,'Meal Log'!$A:$A,$A36)/$E36,1))</f>
        <v/>
      </c>
      <c r="E36" s="13">
        <f>COUNTIF('Meal Log'!$A:$A,$A36)</f>
        <v>0</v>
      </c>
      <c r="F36" s="13" t="str">
        <f>IFERROR(VLOOKUP($A36,'Weight Log'!$A:$B,2,FALSE),"")</f>
        <v/>
      </c>
      <c r="G36" s="13" t="str">
        <f>IFERROR(__xludf.DUMMYFUNCTION("IFERROR(ROUND(AVERAGE(FILTER($B$2:$B36,$A$2:$A36&gt;=$A36-6,$B$2:$B36&gt;0)),0),"""")"),"")</f>
        <v/>
      </c>
      <c r="H36" s="13" t="str">
        <f>IFERROR(__xludf.DUMMYFUNCTION("IFERROR(ROUND(AVERAGE(FILTER($F$2:$F36,$A$2:$A36&gt;=$A36-6,$F$2:$F36&gt;0)),1),"""")"),"")</f>
        <v/>
      </c>
    </row>
    <row r="37" ht="15.75" customHeight="1">
      <c r="A37" s="17">
        <f>'Meal Log'!$A$2+35</f>
        <v>46231</v>
      </c>
      <c r="B37" s="20">
        <f>IF($A37="","",SUMIFS('Meal Log'!$E:$E,'Meal Log'!$A:$A,$A37))</f>
        <v>0</v>
      </c>
      <c r="C37" s="20">
        <f>IF($A37="","",SUMIFS('Meal Log'!$F:$F,'Meal Log'!$A:$A,$A37))</f>
        <v>0</v>
      </c>
      <c r="D37" s="13" t="str">
        <f>IF($E37=0,"",ROUND(SUMIFS('Meal Log'!$G:$G,'Meal Log'!$A:$A,$A37)/$E37,1))</f>
        <v/>
      </c>
      <c r="E37" s="13">
        <f>COUNTIF('Meal Log'!$A:$A,$A37)</f>
        <v>0</v>
      </c>
      <c r="F37" s="13" t="str">
        <f>IFERROR(VLOOKUP($A37,'Weight Log'!$A:$B,2,FALSE),"")</f>
        <v/>
      </c>
      <c r="G37" s="13" t="str">
        <f>IFERROR(__xludf.DUMMYFUNCTION("IFERROR(ROUND(AVERAGE(FILTER($B$2:$B37,$A$2:$A37&gt;=$A37-6,$B$2:$B37&gt;0)),0),"""")"),"")</f>
        <v/>
      </c>
      <c r="H37" s="13" t="str">
        <f>IFERROR(__xludf.DUMMYFUNCTION("IFERROR(ROUND(AVERAGE(FILTER($F$2:$F37,$A$2:$A37&gt;=$A37-6,$F$2:$F37&gt;0)),1),"""")"),"")</f>
        <v/>
      </c>
    </row>
    <row r="38" ht="15.75" customHeight="1">
      <c r="A38" s="17">
        <f>'Meal Log'!$A$2+36</f>
        <v>46232</v>
      </c>
      <c r="B38" s="20">
        <f>IF($A38="","",SUMIFS('Meal Log'!$E:$E,'Meal Log'!$A:$A,$A38))</f>
        <v>0</v>
      </c>
      <c r="C38" s="20">
        <f>IF($A38="","",SUMIFS('Meal Log'!$F:$F,'Meal Log'!$A:$A,$A38))</f>
        <v>0</v>
      </c>
      <c r="D38" s="13" t="str">
        <f>IF($E38=0,"",ROUND(SUMIFS('Meal Log'!$G:$G,'Meal Log'!$A:$A,$A38)/$E38,1))</f>
        <v/>
      </c>
      <c r="E38" s="13">
        <f>COUNTIF('Meal Log'!$A:$A,$A38)</f>
        <v>0</v>
      </c>
      <c r="F38" s="13" t="str">
        <f>IFERROR(VLOOKUP($A38,'Weight Log'!$A:$B,2,FALSE),"")</f>
        <v/>
      </c>
      <c r="G38" s="13" t="str">
        <f>IFERROR(__xludf.DUMMYFUNCTION("IFERROR(ROUND(AVERAGE(FILTER($B$2:$B38,$A$2:$A38&gt;=$A38-6,$B$2:$B38&gt;0)),0),"""")"),"")</f>
        <v/>
      </c>
      <c r="H38" s="13" t="str">
        <f>IFERROR(__xludf.DUMMYFUNCTION("IFERROR(ROUND(AVERAGE(FILTER($F$2:$F38,$A$2:$A38&gt;=$A38-6,$F$2:$F38&gt;0)),1),"""")"),"")</f>
        <v/>
      </c>
    </row>
    <row r="39" ht="15.75" customHeight="1">
      <c r="A39" s="17">
        <f>'Meal Log'!$A$2+37</f>
        <v>46233</v>
      </c>
      <c r="B39" s="20">
        <f>IF($A39="","",SUMIFS('Meal Log'!$E:$E,'Meal Log'!$A:$A,$A39))</f>
        <v>0</v>
      </c>
      <c r="C39" s="20">
        <f>IF($A39="","",SUMIFS('Meal Log'!$F:$F,'Meal Log'!$A:$A,$A39))</f>
        <v>0</v>
      </c>
      <c r="D39" s="13" t="str">
        <f>IF($E39=0,"",ROUND(SUMIFS('Meal Log'!$G:$G,'Meal Log'!$A:$A,$A39)/$E39,1))</f>
        <v/>
      </c>
      <c r="E39" s="13">
        <f>COUNTIF('Meal Log'!$A:$A,$A39)</f>
        <v>0</v>
      </c>
      <c r="F39" s="13" t="str">
        <f>IFERROR(VLOOKUP($A39,'Weight Log'!$A:$B,2,FALSE),"")</f>
        <v/>
      </c>
      <c r="G39" s="13" t="str">
        <f>IFERROR(__xludf.DUMMYFUNCTION("IFERROR(ROUND(AVERAGE(FILTER($B$2:$B39,$A$2:$A39&gt;=$A39-6,$B$2:$B39&gt;0)),0),"""")"),"")</f>
        <v/>
      </c>
      <c r="H39" s="13" t="str">
        <f>IFERROR(__xludf.DUMMYFUNCTION("IFERROR(ROUND(AVERAGE(FILTER($F$2:$F39,$A$2:$A39&gt;=$A39-6,$F$2:$F39&gt;0)),1),"""")"),"")</f>
        <v/>
      </c>
    </row>
    <row r="40" ht="15.75" customHeight="1">
      <c r="A40" s="17">
        <f>'Meal Log'!$A$2+38</f>
        <v>46234</v>
      </c>
      <c r="B40" s="20">
        <f>IF($A40="","",SUMIFS('Meal Log'!$E:$E,'Meal Log'!$A:$A,$A40))</f>
        <v>0</v>
      </c>
      <c r="C40" s="20">
        <f>IF($A40="","",SUMIFS('Meal Log'!$F:$F,'Meal Log'!$A:$A,$A40))</f>
        <v>0</v>
      </c>
      <c r="D40" s="13" t="str">
        <f>IF($E40=0,"",ROUND(SUMIFS('Meal Log'!$G:$G,'Meal Log'!$A:$A,$A40)/$E40,1))</f>
        <v/>
      </c>
      <c r="E40" s="13">
        <f>COUNTIF('Meal Log'!$A:$A,$A40)</f>
        <v>0</v>
      </c>
      <c r="F40" s="13" t="str">
        <f>IFERROR(VLOOKUP($A40,'Weight Log'!$A:$B,2,FALSE),"")</f>
        <v/>
      </c>
      <c r="G40" s="13" t="str">
        <f>IFERROR(__xludf.DUMMYFUNCTION("IFERROR(ROUND(AVERAGE(FILTER($B$2:$B40,$A$2:$A40&gt;=$A40-6,$B$2:$B40&gt;0)),0),"""")"),"")</f>
        <v/>
      </c>
      <c r="H40" s="13" t="str">
        <f>IFERROR(__xludf.DUMMYFUNCTION("IFERROR(ROUND(AVERAGE(FILTER($F$2:$F40,$A$2:$A40&gt;=$A40-6,$F$2:$F40&gt;0)),1),"""")"),"")</f>
        <v/>
      </c>
    </row>
    <row r="41" ht="15.75" customHeight="1">
      <c r="A41" s="17">
        <f>'Meal Log'!$A$2+39</f>
        <v>46235</v>
      </c>
      <c r="B41" s="20">
        <f>IF($A41="","",SUMIFS('Meal Log'!$E:$E,'Meal Log'!$A:$A,$A41))</f>
        <v>0</v>
      </c>
      <c r="C41" s="20">
        <f>IF($A41="","",SUMIFS('Meal Log'!$F:$F,'Meal Log'!$A:$A,$A41))</f>
        <v>0</v>
      </c>
      <c r="D41" s="13" t="str">
        <f>IF($E41=0,"",ROUND(SUMIFS('Meal Log'!$G:$G,'Meal Log'!$A:$A,$A41)/$E41,1))</f>
        <v/>
      </c>
      <c r="E41" s="13">
        <f>COUNTIF('Meal Log'!$A:$A,$A41)</f>
        <v>0</v>
      </c>
      <c r="F41" s="13" t="str">
        <f>IFERROR(VLOOKUP($A41,'Weight Log'!$A:$B,2,FALSE),"")</f>
        <v/>
      </c>
      <c r="G41" s="13" t="str">
        <f>IFERROR(__xludf.DUMMYFUNCTION("IFERROR(ROUND(AVERAGE(FILTER($B$2:$B41,$A$2:$A41&gt;=$A41-6,$B$2:$B41&gt;0)),0),"""")"),"")</f>
        <v/>
      </c>
      <c r="H41" s="13" t="str">
        <f>IFERROR(__xludf.DUMMYFUNCTION("IFERROR(ROUND(AVERAGE(FILTER($F$2:$F41,$A$2:$A41&gt;=$A41-6,$F$2:$F41&gt;0)),1),"""")"),"")</f>
        <v/>
      </c>
    </row>
    <row r="42" ht="15.75" customHeight="1">
      <c r="A42" s="17">
        <f>'Meal Log'!$A$2+40</f>
        <v>46236</v>
      </c>
      <c r="B42" s="20">
        <f>IF($A42="","",SUMIFS('Meal Log'!$E:$E,'Meal Log'!$A:$A,$A42))</f>
        <v>0</v>
      </c>
      <c r="C42" s="20">
        <f>IF($A42="","",SUMIFS('Meal Log'!$F:$F,'Meal Log'!$A:$A,$A42))</f>
        <v>0</v>
      </c>
      <c r="D42" s="13" t="str">
        <f>IF($E42=0,"",ROUND(SUMIFS('Meal Log'!$G:$G,'Meal Log'!$A:$A,$A42)/$E42,1))</f>
        <v/>
      </c>
      <c r="E42" s="13">
        <f>COUNTIF('Meal Log'!$A:$A,$A42)</f>
        <v>0</v>
      </c>
      <c r="F42" s="13" t="str">
        <f>IFERROR(VLOOKUP($A42,'Weight Log'!$A:$B,2,FALSE),"")</f>
        <v/>
      </c>
      <c r="G42" s="13" t="str">
        <f>IFERROR(__xludf.DUMMYFUNCTION("IFERROR(ROUND(AVERAGE(FILTER($B$2:$B42,$A$2:$A42&gt;=$A42-6,$B$2:$B42&gt;0)),0),"""")"),"")</f>
        <v/>
      </c>
      <c r="H42" s="13" t="str">
        <f>IFERROR(__xludf.DUMMYFUNCTION("IFERROR(ROUND(AVERAGE(FILTER($F$2:$F42,$A$2:$A42&gt;=$A42-6,$F$2:$F42&gt;0)),1),"""")"),"")</f>
        <v/>
      </c>
    </row>
    <row r="43" ht="15.75" customHeight="1">
      <c r="A43" s="17">
        <f>'Meal Log'!$A$2+41</f>
        <v>46237</v>
      </c>
      <c r="B43" s="20">
        <f>IF($A43="","",SUMIFS('Meal Log'!$E:$E,'Meal Log'!$A:$A,$A43))</f>
        <v>0</v>
      </c>
      <c r="C43" s="20">
        <f>IF($A43="","",SUMIFS('Meal Log'!$F:$F,'Meal Log'!$A:$A,$A43))</f>
        <v>0</v>
      </c>
      <c r="D43" s="13" t="str">
        <f>IF($E43=0,"",ROUND(SUMIFS('Meal Log'!$G:$G,'Meal Log'!$A:$A,$A43)/$E43,1))</f>
        <v/>
      </c>
      <c r="E43" s="13">
        <f>COUNTIF('Meal Log'!$A:$A,$A43)</f>
        <v>0</v>
      </c>
      <c r="F43" s="13" t="str">
        <f>IFERROR(VLOOKUP($A43,'Weight Log'!$A:$B,2,FALSE),"")</f>
        <v/>
      </c>
      <c r="G43" s="13" t="str">
        <f>IFERROR(__xludf.DUMMYFUNCTION("IFERROR(ROUND(AVERAGE(FILTER($B$2:$B43,$A$2:$A43&gt;=$A43-6,$B$2:$B43&gt;0)),0),"""")"),"")</f>
        <v/>
      </c>
      <c r="H43" s="13" t="str">
        <f>IFERROR(__xludf.DUMMYFUNCTION("IFERROR(ROUND(AVERAGE(FILTER($F$2:$F43,$A$2:$A43&gt;=$A43-6,$F$2:$F43&gt;0)),1),"""")"),"")</f>
        <v/>
      </c>
    </row>
    <row r="44" ht="15.75" customHeight="1">
      <c r="A44" s="17">
        <f>'Meal Log'!$A$2+42</f>
        <v>46238</v>
      </c>
      <c r="B44" s="20">
        <f>IF($A44="","",SUMIFS('Meal Log'!$E:$E,'Meal Log'!$A:$A,$A44))</f>
        <v>0</v>
      </c>
      <c r="C44" s="20">
        <f>IF($A44="","",SUMIFS('Meal Log'!$F:$F,'Meal Log'!$A:$A,$A44))</f>
        <v>0</v>
      </c>
      <c r="D44" s="13" t="str">
        <f>IF($E44=0,"",ROUND(SUMIFS('Meal Log'!$G:$G,'Meal Log'!$A:$A,$A44)/$E44,1))</f>
        <v/>
      </c>
      <c r="E44" s="13">
        <f>COUNTIF('Meal Log'!$A:$A,$A44)</f>
        <v>0</v>
      </c>
      <c r="F44" s="13" t="str">
        <f>IFERROR(VLOOKUP($A44,'Weight Log'!$A:$B,2,FALSE),"")</f>
        <v/>
      </c>
      <c r="G44" s="13" t="str">
        <f>IFERROR(__xludf.DUMMYFUNCTION("IFERROR(ROUND(AVERAGE(FILTER($B$2:$B44,$A$2:$A44&gt;=$A44-6,$B$2:$B44&gt;0)),0),"""")"),"")</f>
        <v/>
      </c>
      <c r="H44" s="13" t="str">
        <f>IFERROR(__xludf.DUMMYFUNCTION("IFERROR(ROUND(AVERAGE(FILTER($F$2:$F44,$A$2:$A44&gt;=$A44-6,$F$2:$F44&gt;0)),1),"""")"),"")</f>
        <v/>
      </c>
    </row>
    <row r="45" ht="15.75" customHeight="1">
      <c r="A45" s="17">
        <f>'Meal Log'!$A$2+43</f>
        <v>46239</v>
      </c>
      <c r="B45" s="20">
        <f>IF($A45="","",SUMIFS('Meal Log'!$E:$E,'Meal Log'!$A:$A,$A45))</f>
        <v>0</v>
      </c>
      <c r="C45" s="20">
        <f>IF($A45="","",SUMIFS('Meal Log'!$F:$F,'Meal Log'!$A:$A,$A45))</f>
        <v>0</v>
      </c>
      <c r="D45" s="13" t="str">
        <f>IF($E45=0,"",ROUND(SUMIFS('Meal Log'!$G:$G,'Meal Log'!$A:$A,$A45)/$E45,1))</f>
        <v/>
      </c>
      <c r="E45" s="13">
        <f>COUNTIF('Meal Log'!$A:$A,$A45)</f>
        <v>0</v>
      </c>
      <c r="F45" s="13" t="str">
        <f>IFERROR(VLOOKUP($A45,'Weight Log'!$A:$B,2,FALSE),"")</f>
        <v/>
      </c>
      <c r="G45" s="13" t="str">
        <f>IFERROR(__xludf.DUMMYFUNCTION("IFERROR(ROUND(AVERAGE(FILTER($B$2:$B45,$A$2:$A45&gt;=$A45-6,$B$2:$B45&gt;0)),0),"""")"),"")</f>
        <v/>
      </c>
      <c r="H45" s="13" t="str">
        <f>IFERROR(__xludf.DUMMYFUNCTION("IFERROR(ROUND(AVERAGE(FILTER($F$2:$F45,$A$2:$A45&gt;=$A45-6,$F$2:$F45&gt;0)),1),"""")"),"")</f>
        <v/>
      </c>
    </row>
    <row r="46" ht="15.75" customHeight="1">
      <c r="A46" s="17">
        <f>'Meal Log'!$A$2+44</f>
        <v>46240</v>
      </c>
      <c r="B46" s="20">
        <f>IF($A46="","",SUMIFS('Meal Log'!$E:$E,'Meal Log'!$A:$A,$A46))</f>
        <v>0</v>
      </c>
      <c r="C46" s="20">
        <f>IF($A46="","",SUMIFS('Meal Log'!$F:$F,'Meal Log'!$A:$A,$A46))</f>
        <v>0</v>
      </c>
      <c r="D46" s="13" t="str">
        <f>IF($E46=0,"",ROUND(SUMIFS('Meal Log'!$G:$G,'Meal Log'!$A:$A,$A46)/$E46,1))</f>
        <v/>
      </c>
      <c r="E46" s="13">
        <f>COUNTIF('Meal Log'!$A:$A,$A46)</f>
        <v>0</v>
      </c>
      <c r="F46" s="13" t="str">
        <f>IFERROR(VLOOKUP($A46,'Weight Log'!$A:$B,2,FALSE),"")</f>
        <v/>
      </c>
      <c r="G46" s="13" t="str">
        <f>IFERROR(__xludf.DUMMYFUNCTION("IFERROR(ROUND(AVERAGE(FILTER($B$2:$B46,$A$2:$A46&gt;=$A46-6,$B$2:$B46&gt;0)),0),"""")"),"")</f>
        <v/>
      </c>
      <c r="H46" s="13" t="str">
        <f>IFERROR(__xludf.DUMMYFUNCTION("IFERROR(ROUND(AVERAGE(FILTER($F$2:$F46,$A$2:$A46&gt;=$A46-6,$F$2:$F46&gt;0)),1),"""")"),"")</f>
        <v/>
      </c>
    </row>
    <row r="47" ht="15.75" customHeight="1">
      <c r="A47" s="17">
        <f>'Meal Log'!$A$2+45</f>
        <v>46241</v>
      </c>
      <c r="B47" s="20">
        <f>IF($A47="","",SUMIFS('Meal Log'!$E:$E,'Meal Log'!$A:$A,$A47))</f>
        <v>0</v>
      </c>
      <c r="C47" s="20">
        <f>IF($A47="","",SUMIFS('Meal Log'!$F:$F,'Meal Log'!$A:$A,$A47))</f>
        <v>0</v>
      </c>
      <c r="D47" s="13" t="str">
        <f>IF($E47=0,"",ROUND(SUMIFS('Meal Log'!$G:$G,'Meal Log'!$A:$A,$A47)/$E47,1))</f>
        <v/>
      </c>
      <c r="E47" s="13">
        <f>COUNTIF('Meal Log'!$A:$A,$A47)</f>
        <v>0</v>
      </c>
      <c r="F47" s="13" t="str">
        <f>IFERROR(VLOOKUP($A47,'Weight Log'!$A:$B,2,FALSE),"")</f>
        <v/>
      </c>
      <c r="G47" s="13" t="str">
        <f>IFERROR(__xludf.DUMMYFUNCTION("IFERROR(ROUND(AVERAGE(FILTER($B$2:$B47,$A$2:$A47&gt;=$A47-6,$B$2:$B47&gt;0)),0),"""")"),"")</f>
        <v/>
      </c>
      <c r="H47" s="13" t="str">
        <f>IFERROR(__xludf.DUMMYFUNCTION("IFERROR(ROUND(AVERAGE(FILTER($F$2:$F47,$A$2:$A47&gt;=$A47-6,$F$2:$F47&gt;0)),1),"""")"),"")</f>
        <v/>
      </c>
    </row>
    <row r="48" ht="15.75" customHeight="1">
      <c r="A48" s="17">
        <f>'Meal Log'!$A$2+46</f>
        <v>46242</v>
      </c>
      <c r="B48" s="20">
        <f>IF($A48="","",SUMIFS('Meal Log'!$E:$E,'Meal Log'!$A:$A,$A48))</f>
        <v>0</v>
      </c>
      <c r="C48" s="20">
        <f>IF($A48="","",SUMIFS('Meal Log'!$F:$F,'Meal Log'!$A:$A,$A48))</f>
        <v>0</v>
      </c>
      <c r="D48" s="13" t="str">
        <f>IF($E48=0,"",ROUND(SUMIFS('Meal Log'!$G:$G,'Meal Log'!$A:$A,$A48)/$E48,1))</f>
        <v/>
      </c>
      <c r="E48" s="13">
        <f>COUNTIF('Meal Log'!$A:$A,$A48)</f>
        <v>0</v>
      </c>
      <c r="F48" s="13" t="str">
        <f>IFERROR(VLOOKUP($A48,'Weight Log'!$A:$B,2,FALSE),"")</f>
        <v/>
      </c>
      <c r="G48" s="13" t="str">
        <f>IFERROR(__xludf.DUMMYFUNCTION("IFERROR(ROUND(AVERAGE(FILTER($B$2:$B48,$A$2:$A48&gt;=$A48-6,$B$2:$B48&gt;0)),0),"""")"),"")</f>
        <v/>
      </c>
      <c r="H48" s="13" t="str">
        <f>IFERROR(__xludf.DUMMYFUNCTION("IFERROR(ROUND(AVERAGE(FILTER($F$2:$F48,$A$2:$A48&gt;=$A48-6,$F$2:$F48&gt;0)),1),"""")"),"")</f>
        <v/>
      </c>
    </row>
    <row r="49" ht="15.75" customHeight="1">
      <c r="A49" s="17">
        <f>'Meal Log'!$A$2+47</f>
        <v>46243</v>
      </c>
      <c r="B49" s="20">
        <f>IF($A49="","",SUMIFS('Meal Log'!$E:$E,'Meal Log'!$A:$A,$A49))</f>
        <v>0</v>
      </c>
      <c r="C49" s="20">
        <f>IF($A49="","",SUMIFS('Meal Log'!$F:$F,'Meal Log'!$A:$A,$A49))</f>
        <v>0</v>
      </c>
      <c r="D49" s="13" t="str">
        <f>IF($E49=0,"",ROUND(SUMIFS('Meal Log'!$G:$G,'Meal Log'!$A:$A,$A49)/$E49,1))</f>
        <v/>
      </c>
      <c r="E49" s="13">
        <f>COUNTIF('Meal Log'!$A:$A,$A49)</f>
        <v>0</v>
      </c>
      <c r="F49" s="13" t="str">
        <f>IFERROR(VLOOKUP($A49,'Weight Log'!$A:$B,2,FALSE),"")</f>
        <v/>
      </c>
      <c r="G49" s="13" t="str">
        <f>IFERROR(__xludf.DUMMYFUNCTION("IFERROR(ROUND(AVERAGE(FILTER($B$2:$B49,$A$2:$A49&gt;=$A49-6,$B$2:$B49&gt;0)),0),"""")"),"")</f>
        <v/>
      </c>
      <c r="H49" s="13" t="str">
        <f>IFERROR(__xludf.DUMMYFUNCTION("IFERROR(ROUND(AVERAGE(FILTER($F$2:$F49,$A$2:$A49&gt;=$A49-6,$F$2:$F49&gt;0)),1),"""")"),"")</f>
        <v/>
      </c>
    </row>
    <row r="50" ht="15.75" customHeight="1">
      <c r="A50" s="17">
        <f>'Meal Log'!$A$2+48</f>
        <v>46244</v>
      </c>
      <c r="B50" s="20">
        <f>IF($A50="","",SUMIFS('Meal Log'!$E:$E,'Meal Log'!$A:$A,$A50))</f>
        <v>0</v>
      </c>
      <c r="C50" s="20">
        <f>IF($A50="","",SUMIFS('Meal Log'!$F:$F,'Meal Log'!$A:$A,$A50))</f>
        <v>0</v>
      </c>
      <c r="D50" s="13" t="str">
        <f>IF($E50=0,"",ROUND(SUMIFS('Meal Log'!$G:$G,'Meal Log'!$A:$A,$A50)/$E50,1))</f>
        <v/>
      </c>
      <c r="E50" s="13">
        <f>COUNTIF('Meal Log'!$A:$A,$A50)</f>
        <v>0</v>
      </c>
      <c r="F50" s="13" t="str">
        <f>IFERROR(VLOOKUP($A50,'Weight Log'!$A:$B,2,FALSE),"")</f>
        <v/>
      </c>
      <c r="G50" s="13" t="str">
        <f>IFERROR(__xludf.DUMMYFUNCTION("IFERROR(ROUND(AVERAGE(FILTER($B$2:$B50,$A$2:$A50&gt;=$A50-6,$B$2:$B50&gt;0)),0),"""")"),"")</f>
        <v/>
      </c>
      <c r="H50" s="13" t="str">
        <f>IFERROR(__xludf.DUMMYFUNCTION("IFERROR(ROUND(AVERAGE(FILTER($F$2:$F50,$A$2:$A50&gt;=$A50-6,$F$2:$F50&gt;0)),1),"""")"),"")</f>
        <v/>
      </c>
    </row>
    <row r="51" ht="15.75" customHeight="1">
      <c r="A51" s="17">
        <f>'Meal Log'!$A$2+49</f>
        <v>46245</v>
      </c>
      <c r="B51" s="20">
        <f>IF($A51="","",SUMIFS('Meal Log'!$E:$E,'Meal Log'!$A:$A,$A51))</f>
        <v>0</v>
      </c>
      <c r="C51" s="20">
        <f>IF($A51="","",SUMIFS('Meal Log'!$F:$F,'Meal Log'!$A:$A,$A51))</f>
        <v>0</v>
      </c>
      <c r="D51" s="13" t="str">
        <f>IF($E51=0,"",ROUND(SUMIFS('Meal Log'!$G:$G,'Meal Log'!$A:$A,$A51)/$E51,1))</f>
        <v/>
      </c>
      <c r="E51" s="13">
        <f>COUNTIF('Meal Log'!$A:$A,$A51)</f>
        <v>0</v>
      </c>
      <c r="F51" s="13" t="str">
        <f>IFERROR(VLOOKUP($A51,'Weight Log'!$A:$B,2,FALSE),"")</f>
        <v/>
      </c>
      <c r="G51" s="13" t="str">
        <f>IFERROR(__xludf.DUMMYFUNCTION("IFERROR(ROUND(AVERAGE(FILTER($B$2:$B51,$A$2:$A51&gt;=$A51-6,$B$2:$B51&gt;0)),0),"""")"),"")</f>
        <v/>
      </c>
      <c r="H51" s="13" t="str">
        <f>IFERROR(__xludf.DUMMYFUNCTION("IFERROR(ROUND(AVERAGE(FILTER($F$2:$F51,$A$2:$A51&gt;=$A51-6,$F$2:$F51&gt;0)),1),"""")"),"")</f>
        <v/>
      </c>
    </row>
    <row r="52" ht="15.75" customHeight="1">
      <c r="A52" s="17">
        <f>'Meal Log'!$A$2+50</f>
        <v>46246</v>
      </c>
      <c r="B52" s="20">
        <f>IF($A52="","",SUMIFS('Meal Log'!$E:$E,'Meal Log'!$A:$A,$A52))</f>
        <v>0</v>
      </c>
      <c r="C52" s="20">
        <f>IF($A52="","",SUMIFS('Meal Log'!$F:$F,'Meal Log'!$A:$A,$A52))</f>
        <v>0</v>
      </c>
      <c r="D52" s="13" t="str">
        <f>IF($E52=0,"",ROUND(SUMIFS('Meal Log'!$G:$G,'Meal Log'!$A:$A,$A52)/$E52,1))</f>
        <v/>
      </c>
      <c r="E52" s="13">
        <f>COUNTIF('Meal Log'!$A:$A,$A52)</f>
        <v>0</v>
      </c>
      <c r="F52" s="13" t="str">
        <f>IFERROR(VLOOKUP($A52,'Weight Log'!$A:$B,2,FALSE),"")</f>
        <v/>
      </c>
      <c r="G52" s="13" t="str">
        <f>IFERROR(__xludf.DUMMYFUNCTION("IFERROR(ROUND(AVERAGE(FILTER($B$2:$B52,$A$2:$A52&gt;=$A52-6,$B$2:$B52&gt;0)),0),"""")"),"")</f>
        <v/>
      </c>
      <c r="H52" s="13" t="str">
        <f>IFERROR(__xludf.DUMMYFUNCTION("IFERROR(ROUND(AVERAGE(FILTER($F$2:$F52,$A$2:$A52&gt;=$A52-6,$F$2:$F52&gt;0)),1),"""")"),"")</f>
        <v/>
      </c>
    </row>
    <row r="53" ht="15.75" customHeight="1">
      <c r="A53" s="17">
        <f>'Meal Log'!$A$2+51</f>
        <v>46247</v>
      </c>
      <c r="B53" s="20">
        <f>IF($A53="","",SUMIFS('Meal Log'!$E:$E,'Meal Log'!$A:$A,$A53))</f>
        <v>0</v>
      </c>
      <c r="C53" s="20">
        <f>IF($A53="","",SUMIFS('Meal Log'!$F:$F,'Meal Log'!$A:$A,$A53))</f>
        <v>0</v>
      </c>
      <c r="D53" s="13" t="str">
        <f>IF($E53=0,"",ROUND(SUMIFS('Meal Log'!$G:$G,'Meal Log'!$A:$A,$A53)/$E53,1))</f>
        <v/>
      </c>
      <c r="E53" s="13">
        <f>COUNTIF('Meal Log'!$A:$A,$A53)</f>
        <v>0</v>
      </c>
      <c r="F53" s="13" t="str">
        <f>IFERROR(VLOOKUP($A53,'Weight Log'!$A:$B,2,FALSE),"")</f>
        <v/>
      </c>
      <c r="G53" s="13" t="str">
        <f>IFERROR(__xludf.DUMMYFUNCTION("IFERROR(ROUND(AVERAGE(FILTER($B$2:$B53,$A$2:$A53&gt;=$A53-6,$B$2:$B53&gt;0)),0),"""")"),"")</f>
        <v/>
      </c>
      <c r="H53" s="13" t="str">
        <f>IFERROR(__xludf.DUMMYFUNCTION("IFERROR(ROUND(AVERAGE(FILTER($F$2:$F53,$A$2:$A53&gt;=$A53-6,$F$2:$F53&gt;0)),1),"""")"),"")</f>
        <v/>
      </c>
    </row>
    <row r="54" ht="15.75" customHeight="1">
      <c r="A54" s="17">
        <f>'Meal Log'!$A$2+52</f>
        <v>46248</v>
      </c>
      <c r="B54" s="20">
        <f>IF($A54="","",SUMIFS('Meal Log'!$E:$E,'Meal Log'!$A:$A,$A54))</f>
        <v>0</v>
      </c>
      <c r="C54" s="20">
        <f>IF($A54="","",SUMIFS('Meal Log'!$F:$F,'Meal Log'!$A:$A,$A54))</f>
        <v>0</v>
      </c>
      <c r="D54" s="13" t="str">
        <f>IF($E54=0,"",ROUND(SUMIFS('Meal Log'!$G:$G,'Meal Log'!$A:$A,$A54)/$E54,1))</f>
        <v/>
      </c>
      <c r="E54" s="13">
        <f>COUNTIF('Meal Log'!$A:$A,$A54)</f>
        <v>0</v>
      </c>
      <c r="F54" s="13" t="str">
        <f>IFERROR(VLOOKUP($A54,'Weight Log'!$A:$B,2,FALSE),"")</f>
        <v/>
      </c>
      <c r="G54" s="13" t="str">
        <f>IFERROR(__xludf.DUMMYFUNCTION("IFERROR(ROUND(AVERAGE(FILTER($B$2:$B54,$A$2:$A54&gt;=$A54-6,$B$2:$B54&gt;0)),0),"""")"),"")</f>
        <v/>
      </c>
      <c r="H54" s="13" t="str">
        <f>IFERROR(__xludf.DUMMYFUNCTION("IFERROR(ROUND(AVERAGE(FILTER($F$2:$F54,$A$2:$A54&gt;=$A54-6,$F$2:$F54&gt;0)),1),"""")"),"")</f>
        <v/>
      </c>
    </row>
    <row r="55" ht="15.75" customHeight="1">
      <c r="A55" s="17">
        <f>'Meal Log'!$A$2+53</f>
        <v>46249</v>
      </c>
      <c r="B55" s="20">
        <f>IF($A55="","",SUMIFS('Meal Log'!$E:$E,'Meal Log'!$A:$A,$A55))</f>
        <v>0</v>
      </c>
      <c r="C55" s="20">
        <f>IF($A55="","",SUMIFS('Meal Log'!$F:$F,'Meal Log'!$A:$A,$A55))</f>
        <v>0</v>
      </c>
      <c r="D55" s="13" t="str">
        <f>IF($E55=0,"",ROUND(SUMIFS('Meal Log'!$G:$G,'Meal Log'!$A:$A,$A55)/$E55,1))</f>
        <v/>
      </c>
      <c r="E55" s="13">
        <f>COUNTIF('Meal Log'!$A:$A,$A55)</f>
        <v>0</v>
      </c>
      <c r="F55" s="13" t="str">
        <f>IFERROR(VLOOKUP($A55,'Weight Log'!$A:$B,2,FALSE),"")</f>
        <v/>
      </c>
      <c r="G55" s="13" t="str">
        <f>IFERROR(__xludf.DUMMYFUNCTION("IFERROR(ROUND(AVERAGE(FILTER($B$2:$B55,$A$2:$A55&gt;=$A55-6,$B$2:$B55&gt;0)),0),"""")"),"")</f>
        <v/>
      </c>
      <c r="H55" s="13" t="str">
        <f>IFERROR(__xludf.DUMMYFUNCTION("IFERROR(ROUND(AVERAGE(FILTER($F$2:$F55,$A$2:$A55&gt;=$A55-6,$F$2:$F55&gt;0)),1),"""")"),"")</f>
        <v/>
      </c>
    </row>
    <row r="56" ht="15.75" customHeight="1">
      <c r="A56" s="17">
        <f>'Meal Log'!$A$2+54</f>
        <v>46250</v>
      </c>
      <c r="B56" s="20">
        <f>IF($A56="","",SUMIFS('Meal Log'!$E:$E,'Meal Log'!$A:$A,$A56))</f>
        <v>0</v>
      </c>
      <c r="C56" s="20">
        <f>IF($A56="","",SUMIFS('Meal Log'!$F:$F,'Meal Log'!$A:$A,$A56))</f>
        <v>0</v>
      </c>
      <c r="D56" s="13" t="str">
        <f>IF($E56=0,"",ROUND(SUMIFS('Meal Log'!$G:$G,'Meal Log'!$A:$A,$A56)/$E56,1))</f>
        <v/>
      </c>
      <c r="E56" s="13">
        <f>COUNTIF('Meal Log'!$A:$A,$A56)</f>
        <v>0</v>
      </c>
      <c r="F56" s="13" t="str">
        <f>IFERROR(VLOOKUP($A56,'Weight Log'!$A:$B,2,FALSE),"")</f>
        <v/>
      </c>
      <c r="G56" s="13" t="str">
        <f>IFERROR(__xludf.DUMMYFUNCTION("IFERROR(ROUND(AVERAGE(FILTER($B$2:$B56,$A$2:$A56&gt;=$A56-6,$B$2:$B56&gt;0)),0),"""")"),"")</f>
        <v/>
      </c>
      <c r="H56" s="13" t="str">
        <f>IFERROR(__xludf.DUMMYFUNCTION("IFERROR(ROUND(AVERAGE(FILTER($F$2:$F56,$A$2:$A56&gt;=$A56-6,$F$2:$F56&gt;0)),1),"""")"),"")</f>
        <v/>
      </c>
    </row>
    <row r="57" ht="15.75" customHeight="1">
      <c r="A57" s="17">
        <f>'Meal Log'!$A$2+55</f>
        <v>46251</v>
      </c>
      <c r="B57" s="20">
        <f>IF($A57="","",SUMIFS('Meal Log'!$E:$E,'Meal Log'!$A:$A,$A57))</f>
        <v>0</v>
      </c>
      <c r="C57" s="20">
        <f>IF($A57="","",SUMIFS('Meal Log'!$F:$F,'Meal Log'!$A:$A,$A57))</f>
        <v>0</v>
      </c>
      <c r="D57" s="13" t="str">
        <f>IF($E57=0,"",ROUND(SUMIFS('Meal Log'!$G:$G,'Meal Log'!$A:$A,$A57)/$E57,1))</f>
        <v/>
      </c>
      <c r="E57" s="13">
        <f>COUNTIF('Meal Log'!$A:$A,$A57)</f>
        <v>0</v>
      </c>
      <c r="F57" s="13" t="str">
        <f>IFERROR(VLOOKUP($A57,'Weight Log'!$A:$B,2,FALSE),"")</f>
        <v/>
      </c>
      <c r="G57" s="13" t="str">
        <f>IFERROR(__xludf.DUMMYFUNCTION("IFERROR(ROUND(AVERAGE(FILTER($B$2:$B57,$A$2:$A57&gt;=$A57-6,$B$2:$B57&gt;0)),0),"""")"),"")</f>
        <v/>
      </c>
      <c r="H57" s="13" t="str">
        <f>IFERROR(__xludf.DUMMYFUNCTION("IFERROR(ROUND(AVERAGE(FILTER($F$2:$F57,$A$2:$A57&gt;=$A57-6,$F$2:$F57&gt;0)),1),"""")"),"")</f>
        <v/>
      </c>
    </row>
    <row r="58" ht="15.75" customHeight="1">
      <c r="A58" s="17">
        <f>'Meal Log'!$A$2+56</f>
        <v>46252</v>
      </c>
      <c r="B58" s="20">
        <f>IF($A58="","",SUMIFS('Meal Log'!$E:$E,'Meal Log'!$A:$A,$A58))</f>
        <v>0</v>
      </c>
      <c r="C58" s="20">
        <f>IF($A58="","",SUMIFS('Meal Log'!$F:$F,'Meal Log'!$A:$A,$A58))</f>
        <v>0</v>
      </c>
      <c r="D58" s="13" t="str">
        <f>IF($E58=0,"",ROUND(SUMIFS('Meal Log'!$G:$G,'Meal Log'!$A:$A,$A58)/$E58,1))</f>
        <v/>
      </c>
      <c r="E58" s="13">
        <f>COUNTIF('Meal Log'!$A:$A,$A58)</f>
        <v>0</v>
      </c>
      <c r="F58" s="13" t="str">
        <f>IFERROR(VLOOKUP($A58,'Weight Log'!$A:$B,2,FALSE),"")</f>
        <v/>
      </c>
      <c r="G58" s="13" t="str">
        <f>IFERROR(__xludf.DUMMYFUNCTION("IFERROR(ROUND(AVERAGE(FILTER($B$2:$B58,$A$2:$A58&gt;=$A58-6,$B$2:$B58&gt;0)),0),"""")"),"")</f>
        <v/>
      </c>
      <c r="H58" s="13" t="str">
        <f>IFERROR(__xludf.DUMMYFUNCTION("IFERROR(ROUND(AVERAGE(FILTER($F$2:$F58,$A$2:$A58&gt;=$A58-6,$F$2:$F58&gt;0)),1),"""")"),"")</f>
        <v/>
      </c>
    </row>
    <row r="59" ht="15.75" customHeight="1">
      <c r="A59" s="17">
        <f>'Meal Log'!$A$2+57</f>
        <v>46253</v>
      </c>
      <c r="B59" s="20">
        <f>IF($A59="","",SUMIFS('Meal Log'!$E:$E,'Meal Log'!$A:$A,$A59))</f>
        <v>0</v>
      </c>
      <c r="C59" s="20">
        <f>IF($A59="","",SUMIFS('Meal Log'!$F:$F,'Meal Log'!$A:$A,$A59))</f>
        <v>0</v>
      </c>
      <c r="D59" s="13" t="str">
        <f>IF($E59=0,"",ROUND(SUMIFS('Meal Log'!$G:$G,'Meal Log'!$A:$A,$A59)/$E59,1))</f>
        <v/>
      </c>
      <c r="E59" s="13">
        <f>COUNTIF('Meal Log'!$A:$A,$A59)</f>
        <v>0</v>
      </c>
      <c r="F59" s="13" t="str">
        <f>IFERROR(VLOOKUP($A59,'Weight Log'!$A:$B,2,FALSE),"")</f>
        <v/>
      </c>
      <c r="G59" s="13" t="str">
        <f>IFERROR(__xludf.DUMMYFUNCTION("IFERROR(ROUND(AVERAGE(FILTER($B$2:$B59,$A$2:$A59&gt;=$A59-6,$B$2:$B59&gt;0)),0),"""")"),"")</f>
        <v/>
      </c>
      <c r="H59" s="13" t="str">
        <f>IFERROR(__xludf.DUMMYFUNCTION("IFERROR(ROUND(AVERAGE(FILTER($F$2:$F59,$A$2:$A59&gt;=$A59-6,$F$2:$F59&gt;0)),1),"""")"),"")</f>
        <v/>
      </c>
    </row>
    <row r="60" ht="15.75" customHeight="1">
      <c r="A60" s="17">
        <f>'Meal Log'!$A$2+58</f>
        <v>46254</v>
      </c>
      <c r="B60" s="20">
        <f>IF($A60="","",SUMIFS('Meal Log'!$E:$E,'Meal Log'!$A:$A,$A60))</f>
        <v>0</v>
      </c>
      <c r="C60" s="20">
        <f>IF($A60="","",SUMIFS('Meal Log'!$F:$F,'Meal Log'!$A:$A,$A60))</f>
        <v>0</v>
      </c>
      <c r="D60" s="13" t="str">
        <f>IF($E60=0,"",ROUND(SUMIFS('Meal Log'!$G:$G,'Meal Log'!$A:$A,$A60)/$E60,1))</f>
        <v/>
      </c>
      <c r="E60" s="13">
        <f>COUNTIF('Meal Log'!$A:$A,$A60)</f>
        <v>0</v>
      </c>
      <c r="F60" s="13" t="str">
        <f>IFERROR(VLOOKUP($A60,'Weight Log'!$A:$B,2,FALSE),"")</f>
        <v/>
      </c>
      <c r="G60" s="13" t="str">
        <f>IFERROR(__xludf.DUMMYFUNCTION("IFERROR(ROUND(AVERAGE(FILTER($B$2:$B60,$A$2:$A60&gt;=$A60-6,$B$2:$B60&gt;0)),0),"""")"),"")</f>
        <v/>
      </c>
      <c r="H60" s="13" t="str">
        <f>IFERROR(__xludf.DUMMYFUNCTION("IFERROR(ROUND(AVERAGE(FILTER($F$2:$F60,$A$2:$A60&gt;=$A60-6,$F$2:$F60&gt;0)),1),"""")"),"")</f>
        <v/>
      </c>
    </row>
    <row r="61" ht="15.75" customHeight="1">
      <c r="A61" s="17">
        <f>'Meal Log'!$A$2+59</f>
        <v>46255</v>
      </c>
      <c r="B61" s="20">
        <f>IF($A61="","",SUMIFS('Meal Log'!$E:$E,'Meal Log'!$A:$A,$A61))</f>
        <v>0</v>
      </c>
      <c r="C61" s="20">
        <f>IF($A61="","",SUMIFS('Meal Log'!$F:$F,'Meal Log'!$A:$A,$A61))</f>
        <v>0</v>
      </c>
      <c r="D61" s="13" t="str">
        <f>IF($E61=0,"",ROUND(SUMIFS('Meal Log'!$G:$G,'Meal Log'!$A:$A,$A61)/$E61,1))</f>
        <v/>
      </c>
      <c r="E61" s="13">
        <f>COUNTIF('Meal Log'!$A:$A,$A61)</f>
        <v>0</v>
      </c>
      <c r="F61" s="13" t="str">
        <f>IFERROR(VLOOKUP($A61,'Weight Log'!$A:$B,2,FALSE),"")</f>
        <v/>
      </c>
      <c r="G61" s="13" t="str">
        <f>IFERROR(__xludf.DUMMYFUNCTION("IFERROR(ROUND(AVERAGE(FILTER($B$2:$B61,$A$2:$A61&gt;=$A61-6,$B$2:$B61&gt;0)),0),"""")"),"")</f>
        <v/>
      </c>
      <c r="H61" s="13" t="str">
        <f>IFERROR(__xludf.DUMMYFUNCTION("IFERROR(ROUND(AVERAGE(FILTER($F$2:$F61,$A$2:$A61&gt;=$A61-6,$F$2:$F61&gt;0)),1),"""")"),"")</f>
        <v/>
      </c>
    </row>
    <row r="62" ht="15.75" customHeight="1">
      <c r="A62" s="17">
        <f>'Meal Log'!$A$2+60</f>
        <v>46256</v>
      </c>
      <c r="B62" s="20">
        <f>IF($A62="","",SUMIFS('Meal Log'!$E:$E,'Meal Log'!$A:$A,$A62))</f>
        <v>0</v>
      </c>
      <c r="C62" s="20">
        <f>IF($A62="","",SUMIFS('Meal Log'!$F:$F,'Meal Log'!$A:$A,$A62))</f>
        <v>0</v>
      </c>
      <c r="D62" s="13" t="str">
        <f>IF($E62=0,"",ROUND(SUMIFS('Meal Log'!$G:$G,'Meal Log'!$A:$A,$A62)/$E62,1))</f>
        <v/>
      </c>
      <c r="E62" s="13">
        <f>COUNTIF('Meal Log'!$A:$A,$A62)</f>
        <v>0</v>
      </c>
      <c r="F62" s="13" t="str">
        <f>IFERROR(VLOOKUP($A62,'Weight Log'!$A:$B,2,FALSE),"")</f>
        <v/>
      </c>
      <c r="G62" s="13" t="str">
        <f>IFERROR(__xludf.DUMMYFUNCTION("IFERROR(ROUND(AVERAGE(FILTER($B$2:$B62,$A$2:$A62&gt;=$A62-6,$B$2:$B62&gt;0)),0),"""")"),"")</f>
        <v/>
      </c>
      <c r="H62" s="13" t="str">
        <f>IFERROR(__xludf.DUMMYFUNCTION("IFERROR(ROUND(AVERAGE(FILTER($F$2:$F62,$A$2:$A62&gt;=$A62-6,$F$2:$F62&gt;0)),1),"""")"),"")</f>
        <v/>
      </c>
    </row>
    <row r="63" ht="15.75" customHeight="1">
      <c r="A63" s="17">
        <f>'Meal Log'!$A$2+61</f>
        <v>46257</v>
      </c>
      <c r="B63" s="20">
        <f>IF($A63="","",SUMIFS('Meal Log'!$E:$E,'Meal Log'!$A:$A,$A63))</f>
        <v>0</v>
      </c>
      <c r="C63" s="20">
        <f>IF($A63="","",SUMIFS('Meal Log'!$F:$F,'Meal Log'!$A:$A,$A63))</f>
        <v>0</v>
      </c>
      <c r="D63" s="13" t="str">
        <f>IF($E63=0,"",ROUND(SUMIFS('Meal Log'!$G:$G,'Meal Log'!$A:$A,$A63)/$E63,1))</f>
        <v/>
      </c>
      <c r="E63" s="13">
        <f>COUNTIF('Meal Log'!$A:$A,$A63)</f>
        <v>0</v>
      </c>
      <c r="F63" s="13" t="str">
        <f>IFERROR(VLOOKUP($A63,'Weight Log'!$A:$B,2,FALSE),"")</f>
        <v/>
      </c>
      <c r="G63" s="13" t="str">
        <f>IFERROR(__xludf.DUMMYFUNCTION("IFERROR(ROUND(AVERAGE(FILTER($B$2:$B63,$A$2:$A63&gt;=$A63-6,$B$2:$B63&gt;0)),0),"""")"),"")</f>
        <v/>
      </c>
      <c r="H63" s="13" t="str">
        <f>IFERROR(__xludf.DUMMYFUNCTION("IFERROR(ROUND(AVERAGE(FILTER($F$2:$F63,$A$2:$A63&gt;=$A63-6,$F$2:$F63&gt;0)),1),"""")"),"")</f>
        <v/>
      </c>
    </row>
    <row r="64" ht="15.75" customHeight="1">
      <c r="A64" s="17">
        <f>'Meal Log'!$A$2+62</f>
        <v>46258</v>
      </c>
      <c r="B64" s="20">
        <f>IF($A64="","",SUMIFS('Meal Log'!$E:$E,'Meal Log'!$A:$A,$A64))</f>
        <v>0</v>
      </c>
      <c r="C64" s="20">
        <f>IF($A64="","",SUMIFS('Meal Log'!$F:$F,'Meal Log'!$A:$A,$A64))</f>
        <v>0</v>
      </c>
      <c r="D64" s="13" t="str">
        <f>IF($E64=0,"",ROUND(SUMIFS('Meal Log'!$G:$G,'Meal Log'!$A:$A,$A64)/$E64,1))</f>
        <v/>
      </c>
      <c r="E64" s="13">
        <f>COUNTIF('Meal Log'!$A:$A,$A64)</f>
        <v>0</v>
      </c>
      <c r="F64" s="13" t="str">
        <f>IFERROR(VLOOKUP($A64,'Weight Log'!$A:$B,2,FALSE),"")</f>
        <v/>
      </c>
      <c r="G64" s="13" t="str">
        <f>IFERROR(__xludf.DUMMYFUNCTION("IFERROR(ROUND(AVERAGE(FILTER($B$2:$B64,$A$2:$A64&gt;=$A64-6,$B$2:$B64&gt;0)),0),"""")"),"")</f>
        <v/>
      </c>
      <c r="H64" s="13" t="str">
        <f>IFERROR(__xludf.DUMMYFUNCTION("IFERROR(ROUND(AVERAGE(FILTER($F$2:$F64,$A$2:$A64&gt;=$A64-6,$F$2:$F64&gt;0)),1),"""")"),"")</f>
        <v/>
      </c>
    </row>
    <row r="65" ht="15.75" customHeight="1">
      <c r="A65" s="17">
        <f>'Meal Log'!$A$2+63</f>
        <v>46259</v>
      </c>
      <c r="B65" s="20">
        <f>IF($A65="","",SUMIFS('Meal Log'!$E:$E,'Meal Log'!$A:$A,$A65))</f>
        <v>0</v>
      </c>
      <c r="C65" s="20">
        <f>IF($A65="","",SUMIFS('Meal Log'!$F:$F,'Meal Log'!$A:$A,$A65))</f>
        <v>0</v>
      </c>
      <c r="D65" s="13" t="str">
        <f>IF($E65=0,"",ROUND(SUMIFS('Meal Log'!$G:$G,'Meal Log'!$A:$A,$A65)/$E65,1))</f>
        <v/>
      </c>
      <c r="E65" s="13">
        <f>COUNTIF('Meal Log'!$A:$A,$A65)</f>
        <v>0</v>
      </c>
      <c r="F65" s="13" t="str">
        <f>IFERROR(VLOOKUP($A65,'Weight Log'!$A:$B,2,FALSE),"")</f>
        <v/>
      </c>
      <c r="G65" s="13" t="str">
        <f>IFERROR(__xludf.DUMMYFUNCTION("IFERROR(ROUND(AVERAGE(FILTER($B$2:$B65,$A$2:$A65&gt;=$A65-6,$B$2:$B65&gt;0)),0),"""")"),"")</f>
        <v/>
      </c>
      <c r="H65" s="13" t="str">
        <f>IFERROR(__xludf.DUMMYFUNCTION("IFERROR(ROUND(AVERAGE(FILTER($F$2:$F65,$A$2:$A65&gt;=$A65-6,$F$2:$F65&gt;0)),1),"""")"),"")</f>
        <v/>
      </c>
    </row>
    <row r="66" ht="15.75" customHeight="1">
      <c r="A66" s="17">
        <f>'Meal Log'!$A$2+64</f>
        <v>46260</v>
      </c>
      <c r="B66" s="20">
        <f>IF($A66="","",SUMIFS('Meal Log'!$E:$E,'Meal Log'!$A:$A,$A66))</f>
        <v>0</v>
      </c>
      <c r="C66" s="20">
        <f>IF($A66="","",SUMIFS('Meal Log'!$F:$F,'Meal Log'!$A:$A,$A66))</f>
        <v>0</v>
      </c>
      <c r="D66" s="13" t="str">
        <f>IF($E66=0,"",ROUND(SUMIFS('Meal Log'!$G:$G,'Meal Log'!$A:$A,$A66)/$E66,1))</f>
        <v/>
      </c>
      <c r="E66" s="13">
        <f>COUNTIF('Meal Log'!$A:$A,$A66)</f>
        <v>0</v>
      </c>
      <c r="F66" s="13" t="str">
        <f>IFERROR(VLOOKUP($A66,'Weight Log'!$A:$B,2,FALSE),"")</f>
        <v/>
      </c>
      <c r="G66" s="13" t="str">
        <f>IFERROR(__xludf.DUMMYFUNCTION("IFERROR(ROUND(AVERAGE(FILTER($B$2:$B66,$A$2:$A66&gt;=$A66-6,$B$2:$B66&gt;0)),0),"""")"),"")</f>
        <v/>
      </c>
      <c r="H66" s="13" t="str">
        <f>IFERROR(__xludf.DUMMYFUNCTION("IFERROR(ROUND(AVERAGE(FILTER($F$2:$F66,$A$2:$A66&gt;=$A66-6,$F$2:$F66&gt;0)),1),"""")"),"")</f>
        <v/>
      </c>
    </row>
    <row r="67" ht="15.75" customHeight="1">
      <c r="A67" s="17">
        <f>'Meal Log'!$A$2+65</f>
        <v>46261</v>
      </c>
      <c r="B67" s="20">
        <f>IF($A67="","",SUMIFS('Meal Log'!$E:$E,'Meal Log'!$A:$A,$A67))</f>
        <v>0</v>
      </c>
      <c r="C67" s="20">
        <f>IF($A67="","",SUMIFS('Meal Log'!$F:$F,'Meal Log'!$A:$A,$A67))</f>
        <v>0</v>
      </c>
      <c r="D67" s="13" t="str">
        <f>IF($E67=0,"",ROUND(SUMIFS('Meal Log'!$G:$G,'Meal Log'!$A:$A,$A67)/$E67,1))</f>
        <v/>
      </c>
      <c r="E67" s="13">
        <f>COUNTIF('Meal Log'!$A:$A,$A67)</f>
        <v>0</v>
      </c>
      <c r="F67" s="13" t="str">
        <f>IFERROR(VLOOKUP($A67,'Weight Log'!$A:$B,2,FALSE),"")</f>
        <v/>
      </c>
      <c r="G67" s="13" t="str">
        <f>IFERROR(__xludf.DUMMYFUNCTION("IFERROR(ROUND(AVERAGE(FILTER($B$2:$B67,$A$2:$A67&gt;=$A67-6,$B$2:$B67&gt;0)),0),"""")"),"")</f>
        <v/>
      </c>
      <c r="H67" s="13" t="str">
        <f>IFERROR(__xludf.DUMMYFUNCTION("IFERROR(ROUND(AVERAGE(FILTER($F$2:$F67,$A$2:$A67&gt;=$A67-6,$F$2:$F67&gt;0)),1),"""")"),"")</f>
        <v/>
      </c>
    </row>
    <row r="68" ht="15.75" customHeight="1">
      <c r="A68" s="17">
        <f>'Meal Log'!$A$2+66</f>
        <v>46262</v>
      </c>
      <c r="B68" s="20">
        <f>IF($A68="","",SUMIFS('Meal Log'!$E:$E,'Meal Log'!$A:$A,$A68))</f>
        <v>0</v>
      </c>
      <c r="C68" s="20">
        <f>IF($A68="","",SUMIFS('Meal Log'!$F:$F,'Meal Log'!$A:$A,$A68))</f>
        <v>0</v>
      </c>
      <c r="D68" s="13" t="str">
        <f>IF($E68=0,"",ROUND(SUMIFS('Meal Log'!$G:$G,'Meal Log'!$A:$A,$A68)/$E68,1))</f>
        <v/>
      </c>
      <c r="E68" s="13">
        <f>COUNTIF('Meal Log'!$A:$A,$A68)</f>
        <v>0</v>
      </c>
      <c r="F68" s="13" t="str">
        <f>IFERROR(VLOOKUP($A68,'Weight Log'!$A:$B,2,FALSE),"")</f>
        <v/>
      </c>
      <c r="G68" s="13" t="str">
        <f>IFERROR(__xludf.DUMMYFUNCTION("IFERROR(ROUND(AVERAGE(FILTER($B$2:$B68,$A$2:$A68&gt;=$A68-6,$B$2:$B68&gt;0)),0),"""")"),"")</f>
        <v/>
      </c>
      <c r="H68" s="13" t="str">
        <f>IFERROR(__xludf.DUMMYFUNCTION("IFERROR(ROUND(AVERAGE(FILTER($F$2:$F68,$A$2:$A68&gt;=$A68-6,$F$2:$F68&gt;0)),1),"""")"),"")</f>
        <v/>
      </c>
    </row>
    <row r="69" ht="15.75" customHeight="1">
      <c r="A69" s="17">
        <f>'Meal Log'!$A$2+67</f>
        <v>46263</v>
      </c>
      <c r="B69" s="20">
        <f>IF($A69="","",SUMIFS('Meal Log'!$E:$E,'Meal Log'!$A:$A,$A69))</f>
        <v>0</v>
      </c>
      <c r="C69" s="20">
        <f>IF($A69="","",SUMIFS('Meal Log'!$F:$F,'Meal Log'!$A:$A,$A69))</f>
        <v>0</v>
      </c>
      <c r="D69" s="13" t="str">
        <f>IF($E69=0,"",ROUND(SUMIFS('Meal Log'!$G:$G,'Meal Log'!$A:$A,$A69)/$E69,1))</f>
        <v/>
      </c>
      <c r="E69" s="13">
        <f>COUNTIF('Meal Log'!$A:$A,$A69)</f>
        <v>0</v>
      </c>
      <c r="F69" s="13" t="str">
        <f>IFERROR(VLOOKUP($A69,'Weight Log'!$A:$B,2,FALSE),"")</f>
        <v/>
      </c>
      <c r="G69" s="13" t="str">
        <f>IFERROR(__xludf.DUMMYFUNCTION("IFERROR(ROUND(AVERAGE(FILTER($B$2:$B69,$A$2:$A69&gt;=$A69-6,$B$2:$B69&gt;0)),0),"""")"),"")</f>
        <v/>
      </c>
      <c r="H69" s="13" t="str">
        <f>IFERROR(__xludf.DUMMYFUNCTION("IFERROR(ROUND(AVERAGE(FILTER($F$2:$F69,$A$2:$A69&gt;=$A69-6,$F$2:$F69&gt;0)),1),"""")"),"")</f>
        <v/>
      </c>
    </row>
    <row r="70" ht="15.75" customHeight="1">
      <c r="A70" s="17">
        <f>'Meal Log'!$A$2+68</f>
        <v>46264</v>
      </c>
      <c r="B70" s="20">
        <f>IF($A70="","",SUMIFS('Meal Log'!$E:$E,'Meal Log'!$A:$A,$A70))</f>
        <v>0</v>
      </c>
      <c r="C70" s="20">
        <f>IF($A70="","",SUMIFS('Meal Log'!$F:$F,'Meal Log'!$A:$A,$A70))</f>
        <v>0</v>
      </c>
      <c r="D70" s="13" t="str">
        <f>IF($E70=0,"",ROUND(SUMIFS('Meal Log'!$G:$G,'Meal Log'!$A:$A,$A70)/$E70,1))</f>
        <v/>
      </c>
      <c r="E70" s="13">
        <f>COUNTIF('Meal Log'!$A:$A,$A70)</f>
        <v>0</v>
      </c>
      <c r="F70" s="13" t="str">
        <f>IFERROR(VLOOKUP($A70,'Weight Log'!$A:$B,2,FALSE),"")</f>
        <v/>
      </c>
      <c r="G70" s="13" t="str">
        <f>IFERROR(__xludf.DUMMYFUNCTION("IFERROR(ROUND(AVERAGE(FILTER($B$2:$B70,$A$2:$A70&gt;=$A70-6,$B$2:$B70&gt;0)),0),"""")"),"")</f>
        <v/>
      </c>
      <c r="H70" s="13" t="str">
        <f>IFERROR(__xludf.DUMMYFUNCTION("IFERROR(ROUND(AVERAGE(FILTER($F$2:$F70,$A$2:$A70&gt;=$A70-6,$F$2:$F70&gt;0)),1),"""")"),"")</f>
        <v/>
      </c>
    </row>
    <row r="71" ht="15.75" customHeight="1">
      <c r="A71" s="17">
        <f>'Meal Log'!$A$2+69</f>
        <v>46265</v>
      </c>
      <c r="B71" s="20">
        <f>IF($A71="","",SUMIFS('Meal Log'!$E:$E,'Meal Log'!$A:$A,$A71))</f>
        <v>0</v>
      </c>
      <c r="C71" s="20">
        <f>IF($A71="","",SUMIFS('Meal Log'!$F:$F,'Meal Log'!$A:$A,$A71))</f>
        <v>0</v>
      </c>
      <c r="D71" s="13" t="str">
        <f>IF($E71=0,"",ROUND(SUMIFS('Meal Log'!$G:$G,'Meal Log'!$A:$A,$A71)/$E71,1))</f>
        <v/>
      </c>
      <c r="E71" s="13">
        <f>COUNTIF('Meal Log'!$A:$A,$A71)</f>
        <v>0</v>
      </c>
      <c r="F71" s="13" t="str">
        <f>IFERROR(VLOOKUP($A71,'Weight Log'!$A:$B,2,FALSE),"")</f>
        <v/>
      </c>
      <c r="G71" s="13" t="str">
        <f>IFERROR(__xludf.DUMMYFUNCTION("IFERROR(ROUND(AVERAGE(FILTER($B$2:$B71,$A$2:$A71&gt;=$A71-6,$B$2:$B71&gt;0)),0),"""")"),"")</f>
        <v/>
      </c>
      <c r="H71" s="13" t="str">
        <f>IFERROR(__xludf.DUMMYFUNCTION("IFERROR(ROUND(AVERAGE(FILTER($F$2:$F71,$A$2:$A71&gt;=$A71-6,$F$2:$F71&gt;0)),1),"""")"),"")</f>
        <v/>
      </c>
    </row>
    <row r="72" ht="15.75" customHeight="1">
      <c r="A72" s="17">
        <f>'Meal Log'!$A$2+70</f>
        <v>46266</v>
      </c>
      <c r="B72" s="20">
        <f>IF($A72="","",SUMIFS('Meal Log'!$E:$E,'Meal Log'!$A:$A,$A72))</f>
        <v>0</v>
      </c>
      <c r="C72" s="20">
        <f>IF($A72="","",SUMIFS('Meal Log'!$F:$F,'Meal Log'!$A:$A,$A72))</f>
        <v>0</v>
      </c>
      <c r="D72" s="13" t="str">
        <f>IF($E72=0,"",ROUND(SUMIFS('Meal Log'!$G:$G,'Meal Log'!$A:$A,$A72)/$E72,1))</f>
        <v/>
      </c>
      <c r="E72" s="13">
        <f>COUNTIF('Meal Log'!$A:$A,$A72)</f>
        <v>0</v>
      </c>
      <c r="F72" s="13" t="str">
        <f>IFERROR(VLOOKUP($A72,'Weight Log'!$A:$B,2,FALSE),"")</f>
        <v/>
      </c>
      <c r="G72" s="13" t="str">
        <f>IFERROR(__xludf.DUMMYFUNCTION("IFERROR(ROUND(AVERAGE(FILTER($B$2:$B72,$A$2:$A72&gt;=$A72-6,$B$2:$B72&gt;0)),0),"""")"),"")</f>
        <v/>
      </c>
      <c r="H72" s="13" t="str">
        <f>IFERROR(__xludf.DUMMYFUNCTION("IFERROR(ROUND(AVERAGE(FILTER($F$2:$F72,$A$2:$A72&gt;=$A72-6,$F$2:$F72&gt;0)),1),"""")"),"")</f>
        <v/>
      </c>
    </row>
    <row r="73" ht="15.75" customHeight="1">
      <c r="A73" s="17">
        <f>'Meal Log'!$A$2+71</f>
        <v>46267</v>
      </c>
      <c r="B73" s="20">
        <f>IF($A73="","",SUMIFS('Meal Log'!$E:$E,'Meal Log'!$A:$A,$A73))</f>
        <v>0</v>
      </c>
      <c r="C73" s="20">
        <f>IF($A73="","",SUMIFS('Meal Log'!$F:$F,'Meal Log'!$A:$A,$A73))</f>
        <v>0</v>
      </c>
      <c r="D73" s="13" t="str">
        <f>IF($E73=0,"",ROUND(SUMIFS('Meal Log'!$G:$G,'Meal Log'!$A:$A,$A73)/$E73,1))</f>
        <v/>
      </c>
      <c r="E73" s="13">
        <f>COUNTIF('Meal Log'!$A:$A,$A73)</f>
        <v>0</v>
      </c>
      <c r="F73" s="13" t="str">
        <f>IFERROR(VLOOKUP($A73,'Weight Log'!$A:$B,2,FALSE),"")</f>
        <v/>
      </c>
      <c r="G73" s="13" t="str">
        <f>IFERROR(__xludf.DUMMYFUNCTION("IFERROR(ROUND(AVERAGE(FILTER($B$2:$B73,$A$2:$A73&gt;=$A73-6,$B$2:$B73&gt;0)),0),"""")"),"")</f>
        <v/>
      </c>
      <c r="H73" s="13" t="str">
        <f>IFERROR(__xludf.DUMMYFUNCTION("IFERROR(ROUND(AVERAGE(FILTER($F$2:$F73,$A$2:$A73&gt;=$A73-6,$F$2:$F73&gt;0)),1),"""")"),"")</f>
        <v/>
      </c>
    </row>
    <row r="74" ht="15.75" customHeight="1">
      <c r="A74" s="17">
        <f>'Meal Log'!$A$2+72</f>
        <v>46268</v>
      </c>
      <c r="B74" s="20">
        <f>IF($A74="","",SUMIFS('Meal Log'!$E:$E,'Meal Log'!$A:$A,$A74))</f>
        <v>0</v>
      </c>
      <c r="C74" s="20">
        <f>IF($A74="","",SUMIFS('Meal Log'!$F:$F,'Meal Log'!$A:$A,$A74))</f>
        <v>0</v>
      </c>
      <c r="D74" s="13" t="str">
        <f>IF($E74=0,"",ROUND(SUMIFS('Meal Log'!$G:$G,'Meal Log'!$A:$A,$A74)/$E74,1))</f>
        <v/>
      </c>
      <c r="E74" s="13">
        <f>COUNTIF('Meal Log'!$A:$A,$A74)</f>
        <v>0</v>
      </c>
      <c r="F74" s="13" t="str">
        <f>IFERROR(VLOOKUP($A74,'Weight Log'!$A:$B,2,FALSE),"")</f>
        <v/>
      </c>
      <c r="G74" s="13" t="str">
        <f>IFERROR(__xludf.DUMMYFUNCTION("IFERROR(ROUND(AVERAGE(FILTER($B$2:$B74,$A$2:$A74&gt;=$A74-6,$B$2:$B74&gt;0)),0),"""")"),"")</f>
        <v/>
      </c>
      <c r="H74" s="13" t="str">
        <f>IFERROR(__xludf.DUMMYFUNCTION("IFERROR(ROUND(AVERAGE(FILTER($F$2:$F74,$A$2:$A74&gt;=$A74-6,$F$2:$F74&gt;0)),1),"""")"),"")</f>
        <v/>
      </c>
    </row>
    <row r="75" ht="15.75" customHeight="1">
      <c r="A75" s="17">
        <f>'Meal Log'!$A$2+73</f>
        <v>46269</v>
      </c>
      <c r="B75" s="20">
        <f>IF($A75="","",SUMIFS('Meal Log'!$E:$E,'Meal Log'!$A:$A,$A75))</f>
        <v>0</v>
      </c>
      <c r="C75" s="20">
        <f>IF($A75="","",SUMIFS('Meal Log'!$F:$F,'Meal Log'!$A:$A,$A75))</f>
        <v>0</v>
      </c>
      <c r="D75" s="13" t="str">
        <f>IF($E75=0,"",ROUND(SUMIFS('Meal Log'!$G:$G,'Meal Log'!$A:$A,$A75)/$E75,1))</f>
        <v/>
      </c>
      <c r="E75" s="13">
        <f>COUNTIF('Meal Log'!$A:$A,$A75)</f>
        <v>0</v>
      </c>
      <c r="F75" s="13" t="str">
        <f>IFERROR(VLOOKUP($A75,'Weight Log'!$A:$B,2,FALSE),"")</f>
        <v/>
      </c>
      <c r="G75" s="13" t="str">
        <f>IFERROR(__xludf.DUMMYFUNCTION("IFERROR(ROUND(AVERAGE(FILTER($B$2:$B75,$A$2:$A75&gt;=$A75-6,$B$2:$B75&gt;0)),0),"""")"),"")</f>
        <v/>
      </c>
      <c r="H75" s="13" t="str">
        <f>IFERROR(__xludf.DUMMYFUNCTION("IFERROR(ROUND(AVERAGE(FILTER($F$2:$F75,$A$2:$A75&gt;=$A75-6,$F$2:$F75&gt;0)),1),"""")"),"")</f>
        <v/>
      </c>
    </row>
    <row r="76" ht="15.75" customHeight="1">
      <c r="A76" s="17">
        <f>'Meal Log'!$A$2+74</f>
        <v>46270</v>
      </c>
      <c r="B76" s="20">
        <f>IF($A76="","",SUMIFS('Meal Log'!$E:$E,'Meal Log'!$A:$A,$A76))</f>
        <v>0</v>
      </c>
      <c r="C76" s="20">
        <f>IF($A76="","",SUMIFS('Meal Log'!$F:$F,'Meal Log'!$A:$A,$A76))</f>
        <v>0</v>
      </c>
      <c r="D76" s="13" t="str">
        <f>IF($E76=0,"",ROUND(SUMIFS('Meal Log'!$G:$G,'Meal Log'!$A:$A,$A76)/$E76,1))</f>
        <v/>
      </c>
      <c r="E76" s="13">
        <f>COUNTIF('Meal Log'!$A:$A,$A76)</f>
        <v>0</v>
      </c>
      <c r="F76" s="13" t="str">
        <f>IFERROR(VLOOKUP($A76,'Weight Log'!$A:$B,2,FALSE),"")</f>
        <v/>
      </c>
      <c r="G76" s="13" t="str">
        <f>IFERROR(__xludf.DUMMYFUNCTION("IFERROR(ROUND(AVERAGE(FILTER($B$2:$B76,$A$2:$A76&gt;=$A76-6,$B$2:$B76&gt;0)),0),"""")"),"")</f>
        <v/>
      </c>
      <c r="H76" s="13" t="str">
        <f>IFERROR(__xludf.DUMMYFUNCTION("IFERROR(ROUND(AVERAGE(FILTER($F$2:$F76,$A$2:$A76&gt;=$A76-6,$F$2:$F76&gt;0)),1),"""")"),"")</f>
        <v/>
      </c>
    </row>
    <row r="77" ht="15.75" customHeight="1">
      <c r="A77" s="17">
        <f>'Meal Log'!$A$2+75</f>
        <v>46271</v>
      </c>
      <c r="B77" s="20">
        <f>IF($A77="","",SUMIFS('Meal Log'!$E:$E,'Meal Log'!$A:$A,$A77))</f>
        <v>0</v>
      </c>
      <c r="C77" s="20">
        <f>IF($A77="","",SUMIFS('Meal Log'!$F:$F,'Meal Log'!$A:$A,$A77))</f>
        <v>0</v>
      </c>
      <c r="D77" s="13" t="str">
        <f>IF($E77=0,"",ROUND(SUMIFS('Meal Log'!$G:$G,'Meal Log'!$A:$A,$A77)/$E77,1))</f>
        <v/>
      </c>
      <c r="E77" s="13">
        <f>COUNTIF('Meal Log'!$A:$A,$A77)</f>
        <v>0</v>
      </c>
      <c r="F77" s="13" t="str">
        <f>IFERROR(VLOOKUP($A77,'Weight Log'!$A:$B,2,FALSE),"")</f>
        <v/>
      </c>
      <c r="G77" s="13" t="str">
        <f>IFERROR(__xludf.DUMMYFUNCTION("IFERROR(ROUND(AVERAGE(FILTER($B$2:$B77,$A$2:$A77&gt;=$A77-6,$B$2:$B77&gt;0)),0),"""")"),"")</f>
        <v/>
      </c>
      <c r="H77" s="13" t="str">
        <f>IFERROR(__xludf.DUMMYFUNCTION("IFERROR(ROUND(AVERAGE(FILTER($F$2:$F77,$A$2:$A77&gt;=$A77-6,$F$2:$F77&gt;0)),1),"""")"),"")</f>
        <v/>
      </c>
    </row>
    <row r="78" ht="15.75" customHeight="1">
      <c r="A78" s="17">
        <f>'Meal Log'!$A$2+76</f>
        <v>46272</v>
      </c>
      <c r="B78" s="20">
        <f>IF($A78="","",SUMIFS('Meal Log'!$E:$E,'Meal Log'!$A:$A,$A78))</f>
        <v>0</v>
      </c>
      <c r="C78" s="20">
        <f>IF($A78="","",SUMIFS('Meal Log'!$F:$F,'Meal Log'!$A:$A,$A78))</f>
        <v>0</v>
      </c>
      <c r="D78" s="13" t="str">
        <f>IF($E78=0,"",ROUND(SUMIFS('Meal Log'!$G:$G,'Meal Log'!$A:$A,$A78)/$E78,1))</f>
        <v/>
      </c>
      <c r="E78" s="13">
        <f>COUNTIF('Meal Log'!$A:$A,$A78)</f>
        <v>0</v>
      </c>
      <c r="F78" s="13" t="str">
        <f>IFERROR(VLOOKUP($A78,'Weight Log'!$A:$B,2,FALSE),"")</f>
        <v/>
      </c>
      <c r="G78" s="13" t="str">
        <f>IFERROR(__xludf.DUMMYFUNCTION("IFERROR(ROUND(AVERAGE(FILTER($B$2:$B78,$A$2:$A78&gt;=$A78-6,$B$2:$B78&gt;0)),0),"""")"),"")</f>
        <v/>
      </c>
      <c r="H78" s="13" t="str">
        <f>IFERROR(__xludf.DUMMYFUNCTION("IFERROR(ROUND(AVERAGE(FILTER($F$2:$F78,$A$2:$A78&gt;=$A78-6,$F$2:$F78&gt;0)),1),"""")"),"")</f>
        <v/>
      </c>
    </row>
    <row r="79" ht="15.75" customHeight="1">
      <c r="A79" s="17">
        <f>'Meal Log'!$A$2+77</f>
        <v>46273</v>
      </c>
      <c r="B79" s="20">
        <f>IF($A79="","",SUMIFS('Meal Log'!$E:$E,'Meal Log'!$A:$A,$A79))</f>
        <v>0</v>
      </c>
      <c r="C79" s="20">
        <f>IF($A79="","",SUMIFS('Meal Log'!$F:$F,'Meal Log'!$A:$A,$A79))</f>
        <v>0</v>
      </c>
      <c r="D79" s="13" t="str">
        <f>IF($E79=0,"",ROUND(SUMIFS('Meal Log'!$G:$G,'Meal Log'!$A:$A,$A79)/$E79,1))</f>
        <v/>
      </c>
      <c r="E79" s="13">
        <f>COUNTIF('Meal Log'!$A:$A,$A79)</f>
        <v>0</v>
      </c>
      <c r="F79" s="13" t="str">
        <f>IFERROR(VLOOKUP($A79,'Weight Log'!$A:$B,2,FALSE),"")</f>
        <v/>
      </c>
      <c r="G79" s="13" t="str">
        <f>IFERROR(__xludf.DUMMYFUNCTION("IFERROR(ROUND(AVERAGE(FILTER($B$2:$B79,$A$2:$A79&gt;=$A79-6,$B$2:$B79&gt;0)),0),"""")"),"")</f>
        <v/>
      </c>
      <c r="H79" s="13" t="str">
        <f>IFERROR(__xludf.DUMMYFUNCTION("IFERROR(ROUND(AVERAGE(FILTER($F$2:$F79,$A$2:$A79&gt;=$A79-6,$F$2:$F79&gt;0)),1),"""")"),"")</f>
        <v/>
      </c>
    </row>
    <row r="80" ht="15.75" customHeight="1">
      <c r="A80" s="17">
        <f>'Meal Log'!$A$2+78</f>
        <v>46274</v>
      </c>
      <c r="B80" s="20">
        <f>IF($A80="","",SUMIFS('Meal Log'!$E:$E,'Meal Log'!$A:$A,$A80))</f>
        <v>0</v>
      </c>
      <c r="C80" s="20">
        <f>IF($A80="","",SUMIFS('Meal Log'!$F:$F,'Meal Log'!$A:$A,$A80))</f>
        <v>0</v>
      </c>
      <c r="D80" s="13" t="str">
        <f>IF($E80=0,"",ROUND(SUMIFS('Meal Log'!$G:$G,'Meal Log'!$A:$A,$A80)/$E80,1))</f>
        <v/>
      </c>
      <c r="E80" s="13">
        <f>COUNTIF('Meal Log'!$A:$A,$A80)</f>
        <v>0</v>
      </c>
      <c r="F80" s="13" t="str">
        <f>IFERROR(VLOOKUP($A80,'Weight Log'!$A:$B,2,FALSE),"")</f>
        <v/>
      </c>
      <c r="G80" s="13" t="str">
        <f>IFERROR(__xludf.DUMMYFUNCTION("IFERROR(ROUND(AVERAGE(FILTER($B$2:$B80,$A$2:$A80&gt;=$A80-6,$B$2:$B80&gt;0)),0),"""")"),"")</f>
        <v/>
      </c>
      <c r="H80" s="13" t="str">
        <f>IFERROR(__xludf.DUMMYFUNCTION("IFERROR(ROUND(AVERAGE(FILTER($F$2:$F80,$A$2:$A80&gt;=$A80-6,$F$2:$F80&gt;0)),1),"""")"),"")</f>
        <v/>
      </c>
    </row>
    <row r="81" ht="15.75" customHeight="1">
      <c r="A81" s="17">
        <f>'Meal Log'!$A$2+79</f>
        <v>46275</v>
      </c>
      <c r="B81" s="20">
        <f>IF($A81="","",SUMIFS('Meal Log'!$E:$E,'Meal Log'!$A:$A,$A81))</f>
        <v>0</v>
      </c>
      <c r="C81" s="20">
        <f>IF($A81="","",SUMIFS('Meal Log'!$F:$F,'Meal Log'!$A:$A,$A81))</f>
        <v>0</v>
      </c>
      <c r="D81" s="13" t="str">
        <f>IF($E81=0,"",ROUND(SUMIFS('Meal Log'!$G:$G,'Meal Log'!$A:$A,$A81)/$E81,1))</f>
        <v/>
      </c>
      <c r="E81" s="13">
        <f>COUNTIF('Meal Log'!$A:$A,$A81)</f>
        <v>0</v>
      </c>
      <c r="F81" s="13" t="str">
        <f>IFERROR(VLOOKUP($A81,'Weight Log'!$A:$B,2,FALSE),"")</f>
        <v/>
      </c>
      <c r="G81" s="13" t="str">
        <f>IFERROR(__xludf.DUMMYFUNCTION("IFERROR(ROUND(AVERAGE(FILTER($B$2:$B81,$A$2:$A81&gt;=$A81-6,$B$2:$B81&gt;0)),0),"""")"),"")</f>
        <v/>
      </c>
      <c r="H81" s="13" t="str">
        <f>IFERROR(__xludf.DUMMYFUNCTION("IFERROR(ROUND(AVERAGE(FILTER($F$2:$F81,$A$2:$A81&gt;=$A81-6,$F$2:$F81&gt;0)),1),"""")"),"")</f>
        <v/>
      </c>
    </row>
    <row r="82" ht="15.75" customHeight="1">
      <c r="A82" s="17">
        <f>'Meal Log'!$A$2+80</f>
        <v>46276</v>
      </c>
      <c r="B82" s="20">
        <f>IF($A82="","",SUMIFS('Meal Log'!$E:$E,'Meal Log'!$A:$A,$A82))</f>
        <v>0</v>
      </c>
      <c r="C82" s="20">
        <f>IF($A82="","",SUMIFS('Meal Log'!$F:$F,'Meal Log'!$A:$A,$A82))</f>
        <v>0</v>
      </c>
      <c r="D82" s="13" t="str">
        <f>IF($E82=0,"",ROUND(SUMIFS('Meal Log'!$G:$G,'Meal Log'!$A:$A,$A82)/$E82,1))</f>
        <v/>
      </c>
      <c r="E82" s="13">
        <f>COUNTIF('Meal Log'!$A:$A,$A82)</f>
        <v>0</v>
      </c>
      <c r="F82" s="13" t="str">
        <f>IFERROR(VLOOKUP($A82,'Weight Log'!$A:$B,2,FALSE),"")</f>
        <v/>
      </c>
      <c r="G82" s="13" t="str">
        <f>IFERROR(__xludf.DUMMYFUNCTION("IFERROR(ROUND(AVERAGE(FILTER($B$2:$B82,$A$2:$A82&gt;=$A82-6,$B$2:$B82&gt;0)),0),"""")"),"")</f>
        <v/>
      </c>
      <c r="H82" s="13" t="str">
        <f>IFERROR(__xludf.DUMMYFUNCTION("IFERROR(ROUND(AVERAGE(FILTER($F$2:$F82,$A$2:$A82&gt;=$A82-6,$F$2:$F82&gt;0)),1),"""")"),"")</f>
        <v/>
      </c>
    </row>
    <row r="83" ht="15.75" customHeight="1">
      <c r="A83" s="17">
        <f>'Meal Log'!$A$2+81</f>
        <v>46277</v>
      </c>
      <c r="B83" s="20">
        <f>IF($A83="","",SUMIFS('Meal Log'!$E:$E,'Meal Log'!$A:$A,$A83))</f>
        <v>0</v>
      </c>
      <c r="C83" s="20">
        <f>IF($A83="","",SUMIFS('Meal Log'!$F:$F,'Meal Log'!$A:$A,$A83))</f>
        <v>0</v>
      </c>
      <c r="D83" s="13" t="str">
        <f>IF($E83=0,"",ROUND(SUMIFS('Meal Log'!$G:$G,'Meal Log'!$A:$A,$A83)/$E83,1))</f>
        <v/>
      </c>
      <c r="E83" s="13">
        <f>COUNTIF('Meal Log'!$A:$A,$A83)</f>
        <v>0</v>
      </c>
      <c r="F83" s="13" t="str">
        <f>IFERROR(VLOOKUP($A83,'Weight Log'!$A:$B,2,FALSE),"")</f>
        <v/>
      </c>
      <c r="G83" s="13" t="str">
        <f>IFERROR(__xludf.DUMMYFUNCTION("IFERROR(ROUND(AVERAGE(FILTER($B$2:$B83,$A$2:$A83&gt;=$A83-6,$B$2:$B83&gt;0)),0),"""")"),"")</f>
        <v/>
      </c>
      <c r="H83" s="13" t="str">
        <f>IFERROR(__xludf.DUMMYFUNCTION("IFERROR(ROUND(AVERAGE(FILTER($F$2:$F83,$A$2:$A83&gt;=$A83-6,$F$2:$F83&gt;0)),1),"""")"),"")</f>
        <v/>
      </c>
    </row>
    <row r="84" ht="15.75" customHeight="1">
      <c r="A84" s="17">
        <f>'Meal Log'!$A$2+82</f>
        <v>46278</v>
      </c>
      <c r="B84" s="20">
        <f>IF($A84="","",SUMIFS('Meal Log'!$E:$E,'Meal Log'!$A:$A,$A84))</f>
        <v>0</v>
      </c>
      <c r="C84" s="20">
        <f>IF($A84="","",SUMIFS('Meal Log'!$F:$F,'Meal Log'!$A:$A,$A84))</f>
        <v>0</v>
      </c>
      <c r="D84" s="13" t="str">
        <f>IF($E84=0,"",ROUND(SUMIFS('Meal Log'!$G:$G,'Meal Log'!$A:$A,$A84)/$E84,1))</f>
        <v/>
      </c>
      <c r="E84" s="13">
        <f>COUNTIF('Meal Log'!$A:$A,$A84)</f>
        <v>0</v>
      </c>
      <c r="F84" s="13" t="str">
        <f>IFERROR(VLOOKUP($A84,'Weight Log'!$A:$B,2,FALSE),"")</f>
        <v/>
      </c>
      <c r="G84" s="13" t="str">
        <f>IFERROR(__xludf.DUMMYFUNCTION("IFERROR(ROUND(AVERAGE(FILTER($B$2:$B84,$A$2:$A84&gt;=$A84-6,$B$2:$B84&gt;0)),0),"""")"),"")</f>
        <v/>
      </c>
      <c r="H84" s="13" t="str">
        <f>IFERROR(__xludf.DUMMYFUNCTION("IFERROR(ROUND(AVERAGE(FILTER($F$2:$F84,$A$2:$A84&gt;=$A84-6,$F$2:$F84&gt;0)),1),"""")"),"")</f>
        <v/>
      </c>
    </row>
    <row r="85" ht="15.75" customHeight="1">
      <c r="A85" s="17">
        <f>'Meal Log'!$A$2+83</f>
        <v>46279</v>
      </c>
      <c r="B85" s="20">
        <f>IF($A85="","",SUMIFS('Meal Log'!$E:$E,'Meal Log'!$A:$A,$A85))</f>
        <v>0</v>
      </c>
      <c r="C85" s="20">
        <f>IF($A85="","",SUMIFS('Meal Log'!$F:$F,'Meal Log'!$A:$A,$A85))</f>
        <v>0</v>
      </c>
      <c r="D85" s="13" t="str">
        <f>IF($E85=0,"",ROUND(SUMIFS('Meal Log'!$G:$G,'Meal Log'!$A:$A,$A85)/$E85,1))</f>
        <v/>
      </c>
      <c r="E85" s="13">
        <f>COUNTIF('Meal Log'!$A:$A,$A85)</f>
        <v>0</v>
      </c>
      <c r="F85" s="13" t="str">
        <f>IFERROR(VLOOKUP($A85,'Weight Log'!$A:$B,2,FALSE),"")</f>
        <v/>
      </c>
      <c r="G85" s="13" t="str">
        <f>IFERROR(__xludf.DUMMYFUNCTION("IFERROR(ROUND(AVERAGE(FILTER($B$2:$B85,$A$2:$A85&gt;=$A85-6,$B$2:$B85&gt;0)),0),"""")"),"")</f>
        <v/>
      </c>
      <c r="H85" s="13" t="str">
        <f>IFERROR(__xludf.DUMMYFUNCTION("IFERROR(ROUND(AVERAGE(FILTER($F$2:$F85,$A$2:$A85&gt;=$A85-6,$F$2:$F85&gt;0)),1),"""")"),"")</f>
        <v/>
      </c>
    </row>
    <row r="86" ht="15.75" customHeight="1">
      <c r="A86" s="17">
        <f>'Meal Log'!$A$2+84</f>
        <v>46280</v>
      </c>
      <c r="B86" s="20">
        <f>IF($A86="","",SUMIFS('Meal Log'!$E:$E,'Meal Log'!$A:$A,$A86))</f>
        <v>0</v>
      </c>
      <c r="C86" s="20">
        <f>IF($A86="","",SUMIFS('Meal Log'!$F:$F,'Meal Log'!$A:$A,$A86))</f>
        <v>0</v>
      </c>
      <c r="D86" s="13" t="str">
        <f>IF($E86=0,"",ROUND(SUMIFS('Meal Log'!$G:$G,'Meal Log'!$A:$A,$A86)/$E86,1))</f>
        <v/>
      </c>
      <c r="E86" s="13">
        <f>COUNTIF('Meal Log'!$A:$A,$A86)</f>
        <v>0</v>
      </c>
      <c r="F86" s="13" t="str">
        <f>IFERROR(VLOOKUP($A86,'Weight Log'!$A:$B,2,FALSE),"")</f>
        <v/>
      </c>
      <c r="G86" s="13" t="str">
        <f>IFERROR(__xludf.DUMMYFUNCTION("IFERROR(ROUND(AVERAGE(FILTER($B$2:$B86,$A$2:$A86&gt;=$A86-6,$B$2:$B86&gt;0)),0),"""")"),"")</f>
        <v/>
      </c>
      <c r="H86" s="13" t="str">
        <f>IFERROR(__xludf.DUMMYFUNCTION("IFERROR(ROUND(AVERAGE(FILTER($F$2:$F86,$A$2:$A86&gt;=$A86-6,$F$2:$F86&gt;0)),1),"""")"),"")</f>
        <v/>
      </c>
    </row>
    <row r="87" ht="15.75" customHeight="1">
      <c r="A87" s="17">
        <f>'Meal Log'!$A$2+85</f>
        <v>46281</v>
      </c>
      <c r="B87" s="20">
        <f>IF($A87="","",SUMIFS('Meal Log'!$E:$E,'Meal Log'!$A:$A,$A87))</f>
        <v>0</v>
      </c>
      <c r="C87" s="20">
        <f>IF($A87="","",SUMIFS('Meal Log'!$F:$F,'Meal Log'!$A:$A,$A87))</f>
        <v>0</v>
      </c>
      <c r="D87" s="13" t="str">
        <f>IF($E87=0,"",ROUND(SUMIFS('Meal Log'!$G:$G,'Meal Log'!$A:$A,$A87)/$E87,1))</f>
        <v/>
      </c>
      <c r="E87" s="13">
        <f>COUNTIF('Meal Log'!$A:$A,$A87)</f>
        <v>0</v>
      </c>
      <c r="F87" s="13" t="str">
        <f>IFERROR(VLOOKUP($A87,'Weight Log'!$A:$B,2,FALSE),"")</f>
        <v/>
      </c>
      <c r="G87" s="13" t="str">
        <f>IFERROR(__xludf.DUMMYFUNCTION("IFERROR(ROUND(AVERAGE(FILTER($B$2:$B87,$A$2:$A87&gt;=$A87-6,$B$2:$B87&gt;0)),0),"""")"),"")</f>
        <v/>
      </c>
      <c r="H87" s="13" t="str">
        <f>IFERROR(__xludf.DUMMYFUNCTION("IFERROR(ROUND(AVERAGE(FILTER($F$2:$F87,$A$2:$A87&gt;=$A87-6,$F$2:$F87&gt;0)),1),"""")"),"")</f>
        <v/>
      </c>
    </row>
    <row r="88" ht="15.75" customHeight="1">
      <c r="A88" s="17">
        <f>'Meal Log'!$A$2+86</f>
        <v>46282</v>
      </c>
      <c r="B88" s="20">
        <f>IF($A88="","",SUMIFS('Meal Log'!$E:$E,'Meal Log'!$A:$A,$A88))</f>
        <v>0</v>
      </c>
      <c r="C88" s="20">
        <f>IF($A88="","",SUMIFS('Meal Log'!$F:$F,'Meal Log'!$A:$A,$A88))</f>
        <v>0</v>
      </c>
      <c r="D88" s="13" t="str">
        <f>IF($E88=0,"",ROUND(SUMIFS('Meal Log'!$G:$G,'Meal Log'!$A:$A,$A88)/$E88,1))</f>
        <v/>
      </c>
      <c r="E88" s="13">
        <f>COUNTIF('Meal Log'!$A:$A,$A88)</f>
        <v>0</v>
      </c>
      <c r="F88" s="13" t="str">
        <f>IFERROR(VLOOKUP($A88,'Weight Log'!$A:$B,2,FALSE),"")</f>
        <v/>
      </c>
      <c r="G88" s="13" t="str">
        <f>IFERROR(__xludf.DUMMYFUNCTION("IFERROR(ROUND(AVERAGE(FILTER($B$2:$B88,$A$2:$A88&gt;=$A88-6,$B$2:$B88&gt;0)),0),"""")"),"")</f>
        <v/>
      </c>
      <c r="H88" s="13" t="str">
        <f>IFERROR(__xludf.DUMMYFUNCTION("IFERROR(ROUND(AVERAGE(FILTER($F$2:$F88,$A$2:$A88&gt;=$A88-6,$F$2:$F88&gt;0)),1),"""")"),"")</f>
        <v/>
      </c>
    </row>
    <row r="89" ht="15.75" customHeight="1">
      <c r="A89" s="17">
        <f>'Meal Log'!$A$2+87</f>
        <v>46283</v>
      </c>
      <c r="B89" s="20">
        <f>IF($A89="","",SUMIFS('Meal Log'!$E:$E,'Meal Log'!$A:$A,$A89))</f>
        <v>0</v>
      </c>
      <c r="C89" s="20">
        <f>IF($A89="","",SUMIFS('Meal Log'!$F:$F,'Meal Log'!$A:$A,$A89))</f>
        <v>0</v>
      </c>
      <c r="D89" s="13" t="str">
        <f>IF($E89=0,"",ROUND(SUMIFS('Meal Log'!$G:$G,'Meal Log'!$A:$A,$A89)/$E89,1))</f>
        <v/>
      </c>
      <c r="E89" s="13">
        <f>COUNTIF('Meal Log'!$A:$A,$A89)</f>
        <v>0</v>
      </c>
      <c r="F89" s="13" t="str">
        <f>IFERROR(VLOOKUP($A89,'Weight Log'!$A:$B,2,FALSE),"")</f>
        <v/>
      </c>
      <c r="G89" s="13" t="str">
        <f>IFERROR(__xludf.DUMMYFUNCTION("IFERROR(ROUND(AVERAGE(FILTER($B$2:$B89,$A$2:$A89&gt;=$A89-6,$B$2:$B89&gt;0)),0),"""")"),"")</f>
        <v/>
      </c>
      <c r="H89" s="13" t="str">
        <f>IFERROR(__xludf.DUMMYFUNCTION("IFERROR(ROUND(AVERAGE(FILTER($F$2:$F89,$A$2:$A89&gt;=$A89-6,$F$2:$F89&gt;0)),1),"""")"),"")</f>
        <v/>
      </c>
    </row>
    <row r="90" ht="15.75" customHeight="1">
      <c r="A90" s="17">
        <f>'Meal Log'!$A$2+88</f>
        <v>46284</v>
      </c>
      <c r="B90" s="20">
        <f>IF($A90="","",SUMIFS('Meal Log'!$E:$E,'Meal Log'!$A:$A,$A90))</f>
        <v>0</v>
      </c>
      <c r="C90" s="20">
        <f>IF($A90="","",SUMIFS('Meal Log'!$F:$F,'Meal Log'!$A:$A,$A90))</f>
        <v>0</v>
      </c>
      <c r="D90" s="13" t="str">
        <f>IF($E90=0,"",ROUND(SUMIFS('Meal Log'!$G:$G,'Meal Log'!$A:$A,$A90)/$E90,1))</f>
        <v/>
      </c>
      <c r="E90" s="13">
        <f>COUNTIF('Meal Log'!$A:$A,$A90)</f>
        <v>0</v>
      </c>
      <c r="F90" s="13" t="str">
        <f>IFERROR(VLOOKUP($A90,'Weight Log'!$A:$B,2,FALSE),"")</f>
        <v/>
      </c>
      <c r="G90" s="13" t="str">
        <f>IFERROR(__xludf.DUMMYFUNCTION("IFERROR(ROUND(AVERAGE(FILTER($B$2:$B90,$A$2:$A90&gt;=$A90-6,$B$2:$B90&gt;0)),0),"""")"),"")</f>
        <v/>
      </c>
      <c r="H90" s="13" t="str">
        <f>IFERROR(__xludf.DUMMYFUNCTION("IFERROR(ROUND(AVERAGE(FILTER($F$2:$F90,$A$2:$A90&gt;=$A90-6,$F$2:$F90&gt;0)),1),"""")"),"")</f>
        <v/>
      </c>
    </row>
    <row r="91" ht="15.75" customHeight="1">
      <c r="A91" s="17">
        <f>'Meal Log'!$A$2+89</f>
        <v>46285</v>
      </c>
      <c r="B91" s="20">
        <f>IF($A91="","",SUMIFS('Meal Log'!$E:$E,'Meal Log'!$A:$A,$A91))</f>
        <v>0</v>
      </c>
      <c r="C91" s="20">
        <f>IF($A91="","",SUMIFS('Meal Log'!$F:$F,'Meal Log'!$A:$A,$A91))</f>
        <v>0</v>
      </c>
      <c r="D91" s="13" t="str">
        <f>IF($E91=0,"",ROUND(SUMIFS('Meal Log'!$G:$G,'Meal Log'!$A:$A,$A91)/$E91,1))</f>
        <v/>
      </c>
      <c r="E91" s="13">
        <f>COUNTIF('Meal Log'!$A:$A,$A91)</f>
        <v>0</v>
      </c>
      <c r="F91" s="13" t="str">
        <f>IFERROR(VLOOKUP($A91,'Weight Log'!$A:$B,2,FALSE),"")</f>
        <v/>
      </c>
      <c r="G91" s="13" t="str">
        <f>IFERROR(__xludf.DUMMYFUNCTION("IFERROR(ROUND(AVERAGE(FILTER($B$2:$B91,$A$2:$A91&gt;=$A91-6,$B$2:$B91&gt;0)),0),"""")"),"")</f>
        <v/>
      </c>
      <c r="H91" s="13" t="str">
        <f>IFERROR(__xludf.DUMMYFUNCTION("IFERROR(ROUND(AVERAGE(FILTER($F$2:$F91,$A$2:$A91&gt;=$A91-6,$F$2:$F91&gt;0)),1),"""")"),"")</f>
        <v/>
      </c>
    </row>
    <row r="92" ht="15.75" customHeight="1">
      <c r="A92" s="17">
        <f>'Meal Log'!$A$2+90</f>
        <v>46286</v>
      </c>
      <c r="B92" s="20">
        <f>IF($A92="","",SUMIFS('Meal Log'!$E:$E,'Meal Log'!$A:$A,$A92))</f>
        <v>0</v>
      </c>
      <c r="C92" s="20">
        <f>IF($A92="","",SUMIFS('Meal Log'!$F:$F,'Meal Log'!$A:$A,$A92))</f>
        <v>0</v>
      </c>
      <c r="D92" s="13" t="str">
        <f>IF($E92=0,"",ROUND(SUMIFS('Meal Log'!$G:$G,'Meal Log'!$A:$A,$A92)/$E92,1))</f>
        <v/>
      </c>
      <c r="E92" s="13">
        <f>COUNTIF('Meal Log'!$A:$A,$A92)</f>
        <v>0</v>
      </c>
      <c r="F92" s="13" t="str">
        <f>IFERROR(VLOOKUP($A92,'Weight Log'!$A:$B,2,FALSE),"")</f>
        <v/>
      </c>
      <c r="G92" s="13" t="str">
        <f>IFERROR(__xludf.DUMMYFUNCTION("IFERROR(ROUND(AVERAGE(FILTER($B$2:$B92,$A$2:$A92&gt;=$A92-6,$B$2:$B92&gt;0)),0),"""")"),"")</f>
        <v/>
      </c>
      <c r="H92" s="13" t="str">
        <f>IFERROR(__xludf.DUMMYFUNCTION("IFERROR(ROUND(AVERAGE(FILTER($F$2:$F92,$A$2:$A92&gt;=$A92-6,$F$2:$F92&gt;0)),1),"""")"),"")</f>
        <v/>
      </c>
    </row>
    <row r="93" ht="15.75" customHeight="1">
      <c r="A93" s="17">
        <f>'Meal Log'!$A$2+91</f>
        <v>46287</v>
      </c>
      <c r="B93" s="20">
        <f>IF($A93="","",SUMIFS('Meal Log'!$E:$E,'Meal Log'!$A:$A,$A93))</f>
        <v>0</v>
      </c>
      <c r="C93" s="20">
        <f>IF($A93="","",SUMIFS('Meal Log'!$F:$F,'Meal Log'!$A:$A,$A93))</f>
        <v>0</v>
      </c>
      <c r="D93" s="13" t="str">
        <f>IF($E93=0,"",ROUND(SUMIFS('Meal Log'!$G:$G,'Meal Log'!$A:$A,$A93)/$E93,1))</f>
        <v/>
      </c>
      <c r="E93" s="13">
        <f>COUNTIF('Meal Log'!$A:$A,$A93)</f>
        <v>0</v>
      </c>
      <c r="F93" s="13" t="str">
        <f>IFERROR(VLOOKUP($A93,'Weight Log'!$A:$B,2,FALSE),"")</f>
        <v/>
      </c>
      <c r="G93" s="13" t="str">
        <f>IFERROR(__xludf.DUMMYFUNCTION("IFERROR(ROUND(AVERAGE(FILTER($B$2:$B93,$A$2:$A93&gt;=$A93-6,$B$2:$B93&gt;0)),0),"""")"),"")</f>
        <v/>
      </c>
      <c r="H93" s="13" t="str">
        <f>IFERROR(__xludf.DUMMYFUNCTION("IFERROR(ROUND(AVERAGE(FILTER($F$2:$F93,$A$2:$A93&gt;=$A93-6,$F$2:$F93&gt;0)),1),"""")"),"")</f>
        <v/>
      </c>
    </row>
    <row r="94" ht="15.75" customHeight="1">
      <c r="A94" s="17">
        <f>'Meal Log'!$A$2+92</f>
        <v>46288</v>
      </c>
      <c r="B94" s="20">
        <f>IF($A94="","",SUMIFS('Meal Log'!$E:$E,'Meal Log'!$A:$A,$A94))</f>
        <v>0</v>
      </c>
      <c r="C94" s="20">
        <f>IF($A94="","",SUMIFS('Meal Log'!$F:$F,'Meal Log'!$A:$A,$A94))</f>
        <v>0</v>
      </c>
      <c r="D94" s="13" t="str">
        <f>IF($E94=0,"",ROUND(SUMIFS('Meal Log'!$G:$G,'Meal Log'!$A:$A,$A94)/$E94,1))</f>
        <v/>
      </c>
      <c r="E94" s="13">
        <f>COUNTIF('Meal Log'!$A:$A,$A94)</f>
        <v>0</v>
      </c>
      <c r="F94" s="13" t="str">
        <f>IFERROR(VLOOKUP($A94,'Weight Log'!$A:$B,2,FALSE),"")</f>
        <v/>
      </c>
      <c r="G94" s="13" t="str">
        <f>IFERROR(__xludf.DUMMYFUNCTION("IFERROR(ROUND(AVERAGE(FILTER($B$2:$B94,$A$2:$A94&gt;=$A94-6,$B$2:$B94&gt;0)),0),"""")"),"")</f>
        <v/>
      </c>
      <c r="H94" s="13" t="str">
        <f>IFERROR(__xludf.DUMMYFUNCTION("IFERROR(ROUND(AVERAGE(FILTER($F$2:$F94,$A$2:$A94&gt;=$A94-6,$F$2:$F94&gt;0)),1),"""")"),"")</f>
        <v/>
      </c>
    </row>
    <row r="95" ht="15.75" customHeight="1">
      <c r="A95" s="17">
        <f>'Meal Log'!$A$2+93</f>
        <v>46289</v>
      </c>
      <c r="B95" s="20">
        <f>IF($A95="","",SUMIFS('Meal Log'!$E:$E,'Meal Log'!$A:$A,$A95))</f>
        <v>0</v>
      </c>
      <c r="C95" s="20">
        <f>IF($A95="","",SUMIFS('Meal Log'!$F:$F,'Meal Log'!$A:$A,$A95))</f>
        <v>0</v>
      </c>
      <c r="D95" s="13" t="str">
        <f>IF($E95=0,"",ROUND(SUMIFS('Meal Log'!$G:$G,'Meal Log'!$A:$A,$A95)/$E95,1))</f>
        <v/>
      </c>
      <c r="E95" s="13">
        <f>COUNTIF('Meal Log'!$A:$A,$A95)</f>
        <v>0</v>
      </c>
      <c r="F95" s="13" t="str">
        <f>IFERROR(VLOOKUP($A95,'Weight Log'!$A:$B,2,FALSE),"")</f>
        <v/>
      </c>
      <c r="G95" s="13" t="str">
        <f>IFERROR(__xludf.DUMMYFUNCTION("IFERROR(ROUND(AVERAGE(FILTER($B$2:$B95,$A$2:$A95&gt;=$A95-6,$B$2:$B95&gt;0)),0),"""")"),"")</f>
        <v/>
      </c>
      <c r="H95" s="13" t="str">
        <f>IFERROR(__xludf.DUMMYFUNCTION("IFERROR(ROUND(AVERAGE(FILTER($F$2:$F95,$A$2:$A95&gt;=$A95-6,$F$2:$F95&gt;0)),1),"""")"),"")</f>
        <v/>
      </c>
    </row>
    <row r="96" ht="15.75" customHeight="1">
      <c r="A96" s="17">
        <f>'Meal Log'!$A$2+94</f>
        <v>46290</v>
      </c>
      <c r="B96" s="20">
        <f>IF($A96="","",SUMIFS('Meal Log'!$E:$E,'Meal Log'!$A:$A,$A96))</f>
        <v>0</v>
      </c>
      <c r="C96" s="20">
        <f>IF($A96="","",SUMIFS('Meal Log'!$F:$F,'Meal Log'!$A:$A,$A96))</f>
        <v>0</v>
      </c>
      <c r="D96" s="13" t="str">
        <f>IF($E96=0,"",ROUND(SUMIFS('Meal Log'!$G:$G,'Meal Log'!$A:$A,$A96)/$E96,1))</f>
        <v/>
      </c>
      <c r="E96" s="13">
        <f>COUNTIF('Meal Log'!$A:$A,$A96)</f>
        <v>0</v>
      </c>
      <c r="F96" s="13" t="str">
        <f>IFERROR(VLOOKUP($A96,'Weight Log'!$A:$B,2,FALSE),"")</f>
        <v/>
      </c>
      <c r="G96" s="13" t="str">
        <f>IFERROR(__xludf.DUMMYFUNCTION("IFERROR(ROUND(AVERAGE(FILTER($B$2:$B96,$A$2:$A96&gt;=$A96-6,$B$2:$B96&gt;0)),0),"""")"),"")</f>
        <v/>
      </c>
      <c r="H96" s="13" t="str">
        <f>IFERROR(__xludf.DUMMYFUNCTION("IFERROR(ROUND(AVERAGE(FILTER($F$2:$F96,$A$2:$A96&gt;=$A96-6,$F$2:$F96&gt;0)),1),"""")"),"")</f>
        <v/>
      </c>
    </row>
    <row r="97" ht="15.75" customHeight="1">
      <c r="A97" s="17">
        <f>'Meal Log'!$A$2+95</f>
        <v>46291</v>
      </c>
      <c r="B97" s="20">
        <f>IF($A97="","",SUMIFS('Meal Log'!$E:$E,'Meal Log'!$A:$A,$A97))</f>
        <v>0</v>
      </c>
      <c r="C97" s="20">
        <f>IF($A97="","",SUMIFS('Meal Log'!$F:$F,'Meal Log'!$A:$A,$A97))</f>
        <v>0</v>
      </c>
      <c r="D97" s="13" t="str">
        <f>IF($E97=0,"",ROUND(SUMIFS('Meal Log'!$G:$G,'Meal Log'!$A:$A,$A97)/$E97,1))</f>
        <v/>
      </c>
      <c r="E97" s="13">
        <f>COUNTIF('Meal Log'!$A:$A,$A97)</f>
        <v>0</v>
      </c>
      <c r="F97" s="13" t="str">
        <f>IFERROR(VLOOKUP($A97,'Weight Log'!$A:$B,2,FALSE),"")</f>
        <v/>
      </c>
      <c r="G97" s="13" t="str">
        <f>IFERROR(__xludf.DUMMYFUNCTION("IFERROR(ROUND(AVERAGE(FILTER($B$2:$B97,$A$2:$A97&gt;=$A97-6,$B$2:$B97&gt;0)),0),"""")"),"")</f>
        <v/>
      </c>
      <c r="H97" s="13" t="str">
        <f>IFERROR(__xludf.DUMMYFUNCTION("IFERROR(ROUND(AVERAGE(FILTER($F$2:$F97,$A$2:$A97&gt;=$A97-6,$F$2:$F97&gt;0)),1),"""")"),"")</f>
        <v/>
      </c>
    </row>
    <row r="98" ht="15.75" customHeight="1">
      <c r="A98" s="17">
        <f>'Meal Log'!$A$2+96</f>
        <v>46292</v>
      </c>
      <c r="B98" s="20">
        <f>IF($A98="","",SUMIFS('Meal Log'!$E:$E,'Meal Log'!$A:$A,$A98))</f>
        <v>0</v>
      </c>
      <c r="C98" s="20">
        <f>IF($A98="","",SUMIFS('Meal Log'!$F:$F,'Meal Log'!$A:$A,$A98))</f>
        <v>0</v>
      </c>
      <c r="D98" s="13" t="str">
        <f>IF($E98=0,"",ROUND(SUMIFS('Meal Log'!$G:$G,'Meal Log'!$A:$A,$A98)/$E98,1))</f>
        <v/>
      </c>
      <c r="E98" s="13">
        <f>COUNTIF('Meal Log'!$A:$A,$A98)</f>
        <v>0</v>
      </c>
      <c r="F98" s="13" t="str">
        <f>IFERROR(VLOOKUP($A98,'Weight Log'!$A:$B,2,FALSE),"")</f>
        <v/>
      </c>
      <c r="G98" s="13" t="str">
        <f>IFERROR(__xludf.DUMMYFUNCTION("IFERROR(ROUND(AVERAGE(FILTER($B$2:$B98,$A$2:$A98&gt;=$A98-6,$B$2:$B98&gt;0)),0),"""")"),"")</f>
        <v/>
      </c>
      <c r="H98" s="13" t="str">
        <f>IFERROR(__xludf.DUMMYFUNCTION("IFERROR(ROUND(AVERAGE(FILTER($F$2:$F98,$A$2:$A98&gt;=$A98-6,$F$2:$F98&gt;0)),1),"""")"),"")</f>
        <v/>
      </c>
    </row>
    <row r="99" ht="15.75" customHeight="1">
      <c r="A99" s="17">
        <f>'Meal Log'!$A$2+97</f>
        <v>46293</v>
      </c>
      <c r="B99" s="20">
        <f>IF($A99="","",SUMIFS('Meal Log'!$E:$E,'Meal Log'!$A:$A,$A99))</f>
        <v>0</v>
      </c>
      <c r="C99" s="20">
        <f>IF($A99="","",SUMIFS('Meal Log'!$F:$F,'Meal Log'!$A:$A,$A99))</f>
        <v>0</v>
      </c>
      <c r="D99" s="13" t="str">
        <f>IF($E99=0,"",ROUND(SUMIFS('Meal Log'!$G:$G,'Meal Log'!$A:$A,$A99)/$E99,1))</f>
        <v/>
      </c>
      <c r="E99" s="13">
        <f>COUNTIF('Meal Log'!$A:$A,$A99)</f>
        <v>0</v>
      </c>
      <c r="F99" s="13" t="str">
        <f>IFERROR(VLOOKUP($A99,'Weight Log'!$A:$B,2,FALSE),"")</f>
        <v/>
      </c>
      <c r="G99" s="13" t="str">
        <f>IFERROR(__xludf.DUMMYFUNCTION("IFERROR(ROUND(AVERAGE(FILTER($B$2:$B99,$A$2:$A99&gt;=$A99-6,$B$2:$B99&gt;0)),0),"""")"),"")</f>
        <v/>
      </c>
      <c r="H99" s="13" t="str">
        <f>IFERROR(__xludf.DUMMYFUNCTION("IFERROR(ROUND(AVERAGE(FILTER($F$2:$F99,$A$2:$A99&gt;=$A99-6,$F$2:$F99&gt;0)),1),"""")"),"")</f>
        <v/>
      </c>
    </row>
    <row r="100" ht="15.75" customHeight="1">
      <c r="A100" s="17">
        <f>'Meal Log'!$A$2+98</f>
        <v>46294</v>
      </c>
      <c r="B100" s="20">
        <f>IF($A100="","",SUMIFS('Meal Log'!$E:$E,'Meal Log'!$A:$A,$A100))</f>
        <v>0</v>
      </c>
      <c r="C100" s="20">
        <f>IF($A100="","",SUMIFS('Meal Log'!$F:$F,'Meal Log'!$A:$A,$A100))</f>
        <v>0</v>
      </c>
      <c r="D100" s="13" t="str">
        <f>IF($E100=0,"",ROUND(SUMIFS('Meal Log'!$G:$G,'Meal Log'!$A:$A,$A100)/$E100,1))</f>
        <v/>
      </c>
      <c r="E100" s="13">
        <f>COUNTIF('Meal Log'!$A:$A,$A100)</f>
        <v>0</v>
      </c>
      <c r="F100" s="13" t="str">
        <f>IFERROR(VLOOKUP($A100,'Weight Log'!$A:$B,2,FALSE),"")</f>
        <v/>
      </c>
      <c r="G100" s="13" t="str">
        <f>IFERROR(__xludf.DUMMYFUNCTION("IFERROR(ROUND(AVERAGE(FILTER($B$2:$B100,$A$2:$A100&gt;=$A100-6,$B$2:$B100&gt;0)),0),"""")"),"")</f>
        <v/>
      </c>
      <c r="H100" s="13" t="str">
        <f>IFERROR(__xludf.DUMMYFUNCTION("IFERROR(ROUND(AVERAGE(FILTER($F$2:$F100,$A$2:$A100&gt;=$A100-6,$F$2:$F100&gt;0)),1),"""")"),"")</f>
        <v/>
      </c>
    </row>
    <row r="101" ht="15.75" customHeight="1">
      <c r="A101" s="17">
        <f>'Meal Log'!$A$2+99</f>
        <v>46295</v>
      </c>
      <c r="B101" s="20">
        <f>IF($A101="","",SUMIFS('Meal Log'!$E:$E,'Meal Log'!$A:$A,$A101))</f>
        <v>0</v>
      </c>
      <c r="C101" s="20">
        <f>IF($A101="","",SUMIFS('Meal Log'!$F:$F,'Meal Log'!$A:$A,$A101))</f>
        <v>0</v>
      </c>
      <c r="D101" s="13" t="str">
        <f>IF($E101=0,"",ROUND(SUMIFS('Meal Log'!$G:$G,'Meal Log'!$A:$A,$A101)/$E101,1))</f>
        <v/>
      </c>
      <c r="E101" s="13">
        <f>COUNTIF('Meal Log'!$A:$A,$A101)</f>
        <v>0</v>
      </c>
      <c r="F101" s="13" t="str">
        <f>IFERROR(VLOOKUP($A101,'Weight Log'!$A:$B,2,FALSE),"")</f>
        <v/>
      </c>
      <c r="G101" s="13" t="str">
        <f>IFERROR(__xludf.DUMMYFUNCTION("IFERROR(ROUND(AVERAGE(FILTER($B$2:$B101,$A$2:$A101&gt;=$A101-6,$B$2:$B101&gt;0)),0),"""")"),"")</f>
        <v/>
      </c>
      <c r="H101" s="13" t="str">
        <f>IFERROR(__xludf.DUMMYFUNCTION("IFERROR(ROUND(AVERAGE(FILTER($F$2:$F101,$A$2:$A101&gt;=$A101-6,$F$2:$F101&gt;0)),1),"""")"),"")</f>
        <v/>
      </c>
    </row>
    <row r="102" ht="15.75" customHeight="1">
      <c r="A102" s="17">
        <f>'Meal Log'!$A$2+100</f>
        <v>46296</v>
      </c>
      <c r="B102" s="20">
        <f>IF($A102="","",SUMIFS('Meal Log'!$E:$E,'Meal Log'!$A:$A,$A102))</f>
        <v>0</v>
      </c>
      <c r="C102" s="20">
        <f>IF($A102="","",SUMIFS('Meal Log'!$F:$F,'Meal Log'!$A:$A,$A102))</f>
        <v>0</v>
      </c>
      <c r="D102" s="13" t="str">
        <f>IF($E102=0,"",ROUND(SUMIFS('Meal Log'!$G:$G,'Meal Log'!$A:$A,$A102)/$E102,1))</f>
        <v/>
      </c>
      <c r="E102" s="13">
        <f>COUNTIF('Meal Log'!$A:$A,$A102)</f>
        <v>0</v>
      </c>
      <c r="F102" s="13" t="str">
        <f>IFERROR(VLOOKUP($A102,'Weight Log'!$A:$B,2,FALSE),"")</f>
        <v/>
      </c>
      <c r="G102" s="13" t="str">
        <f>IFERROR(__xludf.DUMMYFUNCTION("IFERROR(ROUND(AVERAGE(FILTER($B$2:$B102,$A$2:$A102&gt;=$A102-6,$B$2:$B102&gt;0)),0),"""")"),"")</f>
        <v/>
      </c>
      <c r="H102" s="13" t="str">
        <f>IFERROR(__xludf.DUMMYFUNCTION("IFERROR(ROUND(AVERAGE(FILTER($F$2:$F102,$A$2:$A102&gt;=$A102-6,$F$2:$F102&gt;0)),1),"""")"),"")</f>
        <v/>
      </c>
    </row>
    <row r="103" ht="15.75" customHeight="1">
      <c r="A103" s="17">
        <f>'Meal Log'!$A$2+101</f>
        <v>46297</v>
      </c>
      <c r="B103" s="20">
        <f>IF($A103="","",SUMIFS('Meal Log'!$E:$E,'Meal Log'!$A:$A,$A103))</f>
        <v>0</v>
      </c>
      <c r="C103" s="20">
        <f>IF($A103="","",SUMIFS('Meal Log'!$F:$F,'Meal Log'!$A:$A,$A103))</f>
        <v>0</v>
      </c>
      <c r="D103" s="13" t="str">
        <f>IF($E103=0,"",ROUND(SUMIFS('Meal Log'!$G:$G,'Meal Log'!$A:$A,$A103)/$E103,1))</f>
        <v/>
      </c>
      <c r="E103" s="13">
        <f>COUNTIF('Meal Log'!$A:$A,$A103)</f>
        <v>0</v>
      </c>
      <c r="F103" s="13" t="str">
        <f>IFERROR(VLOOKUP($A103,'Weight Log'!$A:$B,2,FALSE),"")</f>
        <v/>
      </c>
      <c r="G103" s="13" t="str">
        <f>IFERROR(__xludf.DUMMYFUNCTION("IFERROR(ROUND(AVERAGE(FILTER($B$2:$B103,$A$2:$A103&gt;=$A103-6,$B$2:$B103&gt;0)),0),"""")"),"")</f>
        <v/>
      </c>
      <c r="H103" s="13" t="str">
        <f>IFERROR(__xludf.DUMMYFUNCTION("IFERROR(ROUND(AVERAGE(FILTER($F$2:$F103,$A$2:$A103&gt;=$A103-6,$F$2:$F103&gt;0)),1),"""")"),"")</f>
        <v/>
      </c>
    </row>
    <row r="104" ht="15.75" customHeight="1">
      <c r="A104" s="17">
        <f>'Meal Log'!$A$2+102</f>
        <v>46298</v>
      </c>
      <c r="B104" s="20">
        <f>IF($A104="","",SUMIFS('Meal Log'!$E:$E,'Meal Log'!$A:$A,$A104))</f>
        <v>0</v>
      </c>
      <c r="C104" s="20">
        <f>IF($A104="","",SUMIFS('Meal Log'!$F:$F,'Meal Log'!$A:$A,$A104))</f>
        <v>0</v>
      </c>
      <c r="D104" s="13" t="str">
        <f>IF($E104=0,"",ROUND(SUMIFS('Meal Log'!$G:$G,'Meal Log'!$A:$A,$A104)/$E104,1))</f>
        <v/>
      </c>
      <c r="E104" s="13">
        <f>COUNTIF('Meal Log'!$A:$A,$A104)</f>
        <v>0</v>
      </c>
      <c r="F104" s="13" t="str">
        <f>IFERROR(VLOOKUP($A104,'Weight Log'!$A:$B,2,FALSE),"")</f>
        <v/>
      </c>
      <c r="G104" s="13" t="str">
        <f>IFERROR(__xludf.DUMMYFUNCTION("IFERROR(ROUND(AVERAGE(FILTER($B$2:$B104,$A$2:$A104&gt;=$A104-6,$B$2:$B104&gt;0)),0),"""")"),"")</f>
        <v/>
      </c>
      <c r="H104" s="13" t="str">
        <f>IFERROR(__xludf.DUMMYFUNCTION("IFERROR(ROUND(AVERAGE(FILTER($F$2:$F104,$A$2:$A104&gt;=$A104-6,$F$2:$F104&gt;0)),1),"""")"),"")</f>
        <v/>
      </c>
    </row>
    <row r="105" ht="15.75" customHeight="1">
      <c r="A105" s="17">
        <f>'Meal Log'!$A$2+103</f>
        <v>46299</v>
      </c>
      <c r="B105" s="20">
        <f>IF($A105="","",SUMIFS('Meal Log'!$E:$E,'Meal Log'!$A:$A,$A105))</f>
        <v>0</v>
      </c>
      <c r="C105" s="20">
        <f>IF($A105="","",SUMIFS('Meal Log'!$F:$F,'Meal Log'!$A:$A,$A105))</f>
        <v>0</v>
      </c>
      <c r="D105" s="13" t="str">
        <f>IF($E105=0,"",ROUND(SUMIFS('Meal Log'!$G:$G,'Meal Log'!$A:$A,$A105)/$E105,1))</f>
        <v/>
      </c>
      <c r="E105" s="13">
        <f>COUNTIF('Meal Log'!$A:$A,$A105)</f>
        <v>0</v>
      </c>
      <c r="F105" s="13" t="str">
        <f>IFERROR(VLOOKUP($A105,'Weight Log'!$A:$B,2,FALSE),"")</f>
        <v/>
      </c>
      <c r="G105" s="13" t="str">
        <f>IFERROR(__xludf.DUMMYFUNCTION("IFERROR(ROUND(AVERAGE(FILTER($B$2:$B105,$A$2:$A105&gt;=$A105-6,$B$2:$B105&gt;0)),0),"""")"),"")</f>
        <v/>
      </c>
      <c r="H105" s="13" t="str">
        <f>IFERROR(__xludf.DUMMYFUNCTION("IFERROR(ROUND(AVERAGE(FILTER($F$2:$F105,$A$2:$A105&gt;=$A105-6,$F$2:$F105&gt;0)),1),"""")"),"")</f>
        <v/>
      </c>
    </row>
    <row r="106" ht="15.75" customHeight="1">
      <c r="A106" s="17">
        <f>'Meal Log'!$A$2+104</f>
        <v>46300</v>
      </c>
      <c r="B106" s="20">
        <f>IF($A106="","",SUMIFS('Meal Log'!$E:$E,'Meal Log'!$A:$A,$A106))</f>
        <v>0</v>
      </c>
      <c r="C106" s="20">
        <f>IF($A106="","",SUMIFS('Meal Log'!$F:$F,'Meal Log'!$A:$A,$A106))</f>
        <v>0</v>
      </c>
      <c r="D106" s="13" t="str">
        <f>IF($E106=0,"",ROUND(SUMIFS('Meal Log'!$G:$G,'Meal Log'!$A:$A,$A106)/$E106,1))</f>
        <v/>
      </c>
      <c r="E106" s="13">
        <f>COUNTIF('Meal Log'!$A:$A,$A106)</f>
        <v>0</v>
      </c>
      <c r="F106" s="13" t="str">
        <f>IFERROR(VLOOKUP($A106,'Weight Log'!$A:$B,2,FALSE),"")</f>
        <v/>
      </c>
      <c r="G106" s="13" t="str">
        <f>IFERROR(__xludf.DUMMYFUNCTION("IFERROR(ROUND(AVERAGE(FILTER($B$2:$B106,$A$2:$A106&gt;=$A106-6,$B$2:$B106&gt;0)),0),"""")"),"")</f>
        <v/>
      </c>
      <c r="H106" s="13" t="str">
        <f>IFERROR(__xludf.DUMMYFUNCTION("IFERROR(ROUND(AVERAGE(FILTER($F$2:$F106,$A$2:$A106&gt;=$A106-6,$F$2:$F106&gt;0)),1),"""")"),"")</f>
        <v/>
      </c>
    </row>
    <row r="107" ht="15.75" customHeight="1">
      <c r="A107" s="17">
        <f>'Meal Log'!$A$2+105</f>
        <v>46301</v>
      </c>
      <c r="B107" s="20">
        <f>IF($A107="","",SUMIFS('Meal Log'!$E:$E,'Meal Log'!$A:$A,$A107))</f>
        <v>0</v>
      </c>
      <c r="C107" s="20">
        <f>IF($A107="","",SUMIFS('Meal Log'!$F:$F,'Meal Log'!$A:$A,$A107))</f>
        <v>0</v>
      </c>
      <c r="D107" s="13" t="str">
        <f>IF($E107=0,"",ROUND(SUMIFS('Meal Log'!$G:$G,'Meal Log'!$A:$A,$A107)/$E107,1))</f>
        <v/>
      </c>
      <c r="E107" s="13">
        <f>COUNTIF('Meal Log'!$A:$A,$A107)</f>
        <v>0</v>
      </c>
      <c r="F107" s="13" t="str">
        <f>IFERROR(VLOOKUP($A107,'Weight Log'!$A:$B,2,FALSE),"")</f>
        <v/>
      </c>
      <c r="G107" s="13" t="str">
        <f>IFERROR(__xludf.DUMMYFUNCTION("IFERROR(ROUND(AVERAGE(FILTER($B$2:$B107,$A$2:$A107&gt;=$A107-6,$B$2:$B107&gt;0)),0),"""")"),"")</f>
        <v/>
      </c>
      <c r="H107" s="13" t="str">
        <f>IFERROR(__xludf.DUMMYFUNCTION("IFERROR(ROUND(AVERAGE(FILTER($F$2:$F107,$A$2:$A107&gt;=$A107-6,$F$2:$F107&gt;0)),1),"""")"),"")</f>
        <v/>
      </c>
    </row>
    <row r="108" ht="15.75" customHeight="1">
      <c r="A108" s="17">
        <f>'Meal Log'!$A$2+106</f>
        <v>46302</v>
      </c>
      <c r="B108" s="20">
        <f>IF($A108="","",SUMIFS('Meal Log'!$E:$E,'Meal Log'!$A:$A,$A108))</f>
        <v>0</v>
      </c>
      <c r="C108" s="20">
        <f>IF($A108="","",SUMIFS('Meal Log'!$F:$F,'Meal Log'!$A:$A,$A108))</f>
        <v>0</v>
      </c>
      <c r="D108" s="13" t="str">
        <f>IF($E108=0,"",ROUND(SUMIFS('Meal Log'!$G:$G,'Meal Log'!$A:$A,$A108)/$E108,1))</f>
        <v/>
      </c>
      <c r="E108" s="13">
        <f>COUNTIF('Meal Log'!$A:$A,$A108)</f>
        <v>0</v>
      </c>
      <c r="F108" s="13" t="str">
        <f>IFERROR(VLOOKUP($A108,'Weight Log'!$A:$B,2,FALSE),"")</f>
        <v/>
      </c>
      <c r="G108" s="13" t="str">
        <f>IFERROR(__xludf.DUMMYFUNCTION("IFERROR(ROUND(AVERAGE(FILTER($B$2:$B108,$A$2:$A108&gt;=$A108-6,$B$2:$B108&gt;0)),0),"""")"),"")</f>
        <v/>
      </c>
      <c r="H108" s="13" t="str">
        <f>IFERROR(__xludf.DUMMYFUNCTION("IFERROR(ROUND(AVERAGE(FILTER($F$2:$F108,$A$2:$A108&gt;=$A108-6,$F$2:$F108&gt;0)),1),"""")"),"")</f>
        <v/>
      </c>
    </row>
    <row r="109" ht="15.75" customHeight="1">
      <c r="A109" s="17">
        <f>'Meal Log'!$A$2+107</f>
        <v>46303</v>
      </c>
      <c r="B109" s="20">
        <f>IF($A109="","",SUMIFS('Meal Log'!$E:$E,'Meal Log'!$A:$A,$A109))</f>
        <v>0</v>
      </c>
      <c r="C109" s="20">
        <f>IF($A109="","",SUMIFS('Meal Log'!$F:$F,'Meal Log'!$A:$A,$A109))</f>
        <v>0</v>
      </c>
      <c r="D109" s="13" t="str">
        <f>IF($E109=0,"",ROUND(SUMIFS('Meal Log'!$G:$G,'Meal Log'!$A:$A,$A109)/$E109,1))</f>
        <v/>
      </c>
      <c r="E109" s="13">
        <f>COUNTIF('Meal Log'!$A:$A,$A109)</f>
        <v>0</v>
      </c>
      <c r="F109" s="13" t="str">
        <f>IFERROR(VLOOKUP($A109,'Weight Log'!$A:$B,2,FALSE),"")</f>
        <v/>
      </c>
      <c r="G109" s="13" t="str">
        <f>IFERROR(__xludf.DUMMYFUNCTION("IFERROR(ROUND(AVERAGE(FILTER($B$2:$B109,$A$2:$A109&gt;=$A109-6,$B$2:$B109&gt;0)),0),"""")"),"")</f>
        <v/>
      </c>
      <c r="H109" s="13" t="str">
        <f>IFERROR(__xludf.DUMMYFUNCTION("IFERROR(ROUND(AVERAGE(FILTER($F$2:$F109,$A$2:$A109&gt;=$A109-6,$F$2:$F109&gt;0)),1),"""")"),"")</f>
        <v/>
      </c>
    </row>
    <row r="110" ht="15.75" customHeight="1">
      <c r="A110" s="17">
        <f>'Meal Log'!$A$2+108</f>
        <v>46304</v>
      </c>
      <c r="B110" s="20">
        <f>IF($A110="","",SUMIFS('Meal Log'!$E:$E,'Meal Log'!$A:$A,$A110))</f>
        <v>0</v>
      </c>
      <c r="C110" s="20">
        <f>IF($A110="","",SUMIFS('Meal Log'!$F:$F,'Meal Log'!$A:$A,$A110))</f>
        <v>0</v>
      </c>
      <c r="D110" s="13" t="str">
        <f>IF($E110=0,"",ROUND(SUMIFS('Meal Log'!$G:$G,'Meal Log'!$A:$A,$A110)/$E110,1))</f>
        <v/>
      </c>
      <c r="E110" s="13">
        <f>COUNTIF('Meal Log'!$A:$A,$A110)</f>
        <v>0</v>
      </c>
      <c r="F110" s="13" t="str">
        <f>IFERROR(VLOOKUP($A110,'Weight Log'!$A:$B,2,FALSE),"")</f>
        <v/>
      </c>
      <c r="G110" s="13" t="str">
        <f>IFERROR(__xludf.DUMMYFUNCTION("IFERROR(ROUND(AVERAGE(FILTER($B$2:$B110,$A$2:$A110&gt;=$A110-6,$B$2:$B110&gt;0)),0),"""")"),"")</f>
        <v/>
      </c>
      <c r="H110" s="13" t="str">
        <f>IFERROR(__xludf.DUMMYFUNCTION("IFERROR(ROUND(AVERAGE(FILTER($F$2:$F110,$A$2:$A110&gt;=$A110-6,$F$2:$F110&gt;0)),1),"""")"),"")</f>
        <v/>
      </c>
    </row>
    <row r="111" ht="15.75" customHeight="1">
      <c r="A111" s="17">
        <f>'Meal Log'!$A$2+109</f>
        <v>46305</v>
      </c>
      <c r="B111" s="20">
        <f>IF($A111="","",SUMIFS('Meal Log'!$E:$E,'Meal Log'!$A:$A,$A111))</f>
        <v>0</v>
      </c>
      <c r="C111" s="20">
        <f>IF($A111="","",SUMIFS('Meal Log'!$F:$F,'Meal Log'!$A:$A,$A111))</f>
        <v>0</v>
      </c>
      <c r="D111" s="13" t="str">
        <f>IF($E111=0,"",ROUND(SUMIFS('Meal Log'!$G:$G,'Meal Log'!$A:$A,$A111)/$E111,1))</f>
        <v/>
      </c>
      <c r="E111" s="13">
        <f>COUNTIF('Meal Log'!$A:$A,$A111)</f>
        <v>0</v>
      </c>
      <c r="F111" s="13" t="str">
        <f>IFERROR(VLOOKUP($A111,'Weight Log'!$A:$B,2,FALSE),"")</f>
        <v/>
      </c>
      <c r="G111" s="13" t="str">
        <f>IFERROR(__xludf.DUMMYFUNCTION("IFERROR(ROUND(AVERAGE(FILTER($B$2:$B111,$A$2:$A111&gt;=$A111-6,$B$2:$B111&gt;0)),0),"""")"),"")</f>
        <v/>
      </c>
      <c r="H111" s="13" t="str">
        <f>IFERROR(__xludf.DUMMYFUNCTION("IFERROR(ROUND(AVERAGE(FILTER($F$2:$F111,$A$2:$A111&gt;=$A111-6,$F$2:$F111&gt;0)),1),"""")"),"")</f>
        <v/>
      </c>
    </row>
    <row r="112" ht="15.75" customHeight="1">
      <c r="A112" s="17">
        <f>'Meal Log'!$A$2+110</f>
        <v>46306</v>
      </c>
      <c r="B112" s="20">
        <f>IF($A112="","",SUMIFS('Meal Log'!$E:$E,'Meal Log'!$A:$A,$A112))</f>
        <v>0</v>
      </c>
      <c r="C112" s="20">
        <f>IF($A112="","",SUMIFS('Meal Log'!$F:$F,'Meal Log'!$A:$A,$A112))</f>
        <v>0</v>
      </c>
      <c r="D112" s="13" t="str">
        <f>IF($E112=0,"",ROUND(SUMIFS('Meal Log'!$G:$G,'Meal Log'!$A:$A,$A112)/$E112,1))</f>
        <v/>
      </c>
      <c r="E112" s="13">
        <f>COUNTIF('Meal Log'!$A:$A,$A112)</f>
        <v>0</v>
      </c>
      <c r="F112" s="13" t="str">
        <f>IFERROR(VLOOKUP($A112,'Weight Log'!$A:$B,2,FALSE),"")</f>
        <v/>
      </c>
      <c r="G112" s="13" t="str">
        <f>IFERROR(__xludf.DUMMYFUNCTION("IFERROR(ROUND(AVERAGE(FILTER($B$2:$B112,$A$2:$A112&gt;=$A112-6,$B$2:$B112&gt;0)),0),"""")"),"")</f>
        <v/>
      </c>
      <c r="H112" s="13" t="str">
        <f>IFERROR(__xludf.DUMMYFUNCTION("IFERROR(ROUND(AVERAGE(FILTER($F$2:$F112,$A$2:$A112&gt;=$A112-6,$F$2:$F112&gt;0)),1),"""")"),"")</f>
        <v/>
      </c>
    </row>
    <row r="113" ht="15.75" customHeight="1">
      <c r="A113" s="17">
        <f>'Meal Log'!$A$2+111</f>
        <v>46307</v>
      </c>
      <c r="B113" s="20">
        <f>IF($A113="","",SUMIFS('Meal Log'!$E:$E,'Meal Log'!$A:$A,$A113))</f>
        <v>0</v>
      </c>
      <c r="C113" s="20">
        <f>IF($A113="","",SUMIFS('Meal Log'!$F:$F,'Meal Log'!$A:$A,$A113))</f>
        <v>0</v>
      </c>
      <c r="D113" s="13" t="str">
        <f>IF($E113=0,"",ROUND(SUMIFS('Meal Log'!$G:$G,'Meal Log'!$A:$A,$A113)/$E113,1))</f>
        <v/>
      </c>
      <c r="E113" s="13">
        <f>COUNTIF('Meal Log'!$A:$A,$A113)</f>
        <v>0</v>
      </c>
      <c r="F113" s="13" t="str">
        <f>IFERROR(VLOOKUP($A113,'Weight Log'!$A:$B,2,FALSE),"")</f>
        <v/>
      </c>
      <c r="G113" s="13" t="str">
        <f>IFERROR(__xludf.DUMMYFUNCTION("IFERROR(ROUND(AVERAGE(FILTER($B$2:$B113,$A$2:$A113&gt;=$A113-6,$B$2:$B113&gt;0)),0),"""")"),"")</f>
        <v/>
      </c>
      <c r="H113" s="13" t="str">
        <f>IFERROR(__xludf.DUMMYFUNCTION("IFERROR(ROUND(AVERAGE(FILTER($F$2:$F113,$A$2:$A113&gt;=$A113-6,$F$2:$F113&gt;0)),1),"""")"),"")</f>
        <v/>
      </c>
    </row>
    <row r="114" ht="15.75" customHeight="1">
      <c r="A114" s="17">
        <f>'Meal Log'!$A$2+112</f>
        <v>46308</v>
      </c>
      <c r="B114" s="20">
        <f>IF($A114="","",SUMIFS('Meal Log'!$E:$E,'Meal Log'!$A:$A,$A114))</f>
        <v>0</v>
      </c>
      <c r="C114" s="20">
        <f>IF($A114="","",SUMIFS('Meal Log'!$F:$F,'Meal Log'!$A:$A,$A114))</f>
        <v>0</v>
      </c>
      <c r="D114" s="13" t="str">
        <f>IF($E114=0,"",ROUND(SUMIFS('Meal Log'!$G:$G,'Meal Log'!$A:$A,$A114)/$E114,1))</f>
        <v/>
      </c>
      <c r="E114" s="13">
        <f>COUNTIF('Meal Log'!$A:$A,$A114)</f>
        <v>0</v>
      </c>
      <c r="F114" s="13" t="str">
        <f>IFERROR(VLOOKUP($A114,'Weight Log'!$A:$B,2,FALSE),"")</f>
        <v/>
      </c>
      <c r="G114" s="13" t="str">
        <f>IFERROR(__xludf.DUMMYFUNCTION("IFERROR(ROUND(AVERAGE(FILTER($B$2:$B114,$A$2:$A114&gt;=$A114-6,$B$2:$B114&gt;0)),0),"""")"),"")</f>
        <v/>
      </c>
      <c r="H114" s="13" t="str">
        <f>IFERROR(__xludf.DUMMYFUNCTION("IFERROR(ROUND(AVERAGE(FILTER($F$2:$F114,$A$2:$A114&gt;=$A114-6,$F$2:$F114&gt;0)),1),"""")"),"")</f>
        <v/>
      </c>
    </row>
    <row r="115" ht="15.75" customHeight="1">
      <c r="A115" s="17">
        <f>'Meal Log'!$A$2+113</f>
        <v>46309</v>
      </c>
      <c r="B115" s="20">
        <f>IF($A115="","",SUMIFS('Meal Log'!$E:$E,'Meal Log'!$A:$A,$A115))</f>
        <v>0</v>
      </c>
      <c r="C115" s="20">
        <f>IF($A115="","",SUMIFS('Meal Log'!$F:$F,'Meal Log'!$A:$A,$A115))</f>
        <v>0</v>
      </c>
      <c r="D115" s="13" t="str">
        <f>IF($E115=0,"",ROUND(SUMIFS('Meal Log'!$G:$G,'Meal Log'!$A:$A,$A115)/$E115,1))</f>
        <v/>
      </c>
      <c r="E115" s="13">
        <f>COUNTIF('Meal Log'!$A:$A,$A115)</f>
        <v>0</v>
      </c>
      <c r="F115" s="13" t="str">
        <f>IFERROR(VLOOKUP($A115,'Weight Log'!$A:$B,2,FALSE),"")</f>
        <v/>
      </c>
      <c r="G115" s="13" t="str">
        <f>IFERROR(__xludf.DUMMYFUNCTION("IFERROR(ROUND(AVERAGE(FILTER($B$2:$B115,$A$2:$A115&gt;=$A115-6,$B$2:$B115&gt;0)),0),"""")"),"")</f>
        <v/>
      </c>
      <c r="H115" s="13" t="str">
        <f>IFERROR(__xludf.DUMMYFUNCTION("IFERROR(ROUND(AVERAGE(FILTER($F$2:$F115,$A$2:$A115&gt;=$A115-6,$F$2:$F115&gt;0)),1),"""")"),"")</f>
        <v/>
      </c>
    </row>
    <row r="116" ht="15.75" customHeight="1">
      <c r="A116" s="17">
        <f>'Meal Log'!$A$2+114</f>
        <v>46310</v>
      </c>
      <c r="B116" s="20">
        <f>IF($A116="","",SUMIFS('Meal Log'!$E:$E,'Meal Log'!$A:$A,$A116))</f>
        <v>0</v>
      </c>
      <c r="C116" s="20">
        <f>IF($A116="","",SUMIFS('Meal Log'!$F:$F,'Meal Log'!$A:$A,$A116))</f>
        <v>0</v>
      </c>
      <c r="D116" s="13" t="str">
        <f>IF($E116=0,"",ROUND(SUMIFS('Meal Log'!$G:$G,'Meal Log'!$A:$A,$A116)/$E116,1))</f>
        <v/>
      </c>
      <c r="E116" s="13">
        <f>COUNTIF('Meal Log'!$A:$A,$A116)</f>
        <v>0</v>
      </c>
      <c r="F116" s="13" t="str">
        <f>IFERROR(VLOOKUP($A116,'Weight Log'!$A:$B,2,FALSE),"")</f>
        <v/>
      </c>
      <c r="G116" s="13" t="str">
        <f>IFERROR(__xludf.DUMMYFUNCTION("IFERROR(ROUND(AVERAGE(FILTER($B$2:$B116,$A$2:$A116&gt;=$A116-6,$B$2:$B116&gt;0)),0),"""")"),"")</f>
        <v/>
      </c>
      <c r="H116" s="13" t="str">
        <f>IFERROR(__xludf.DUMMYFUNCTION("IFERROR(ROUND(AVERAGE(FILTER($F$2:$F116,$A$2:$A116&gt;=$A116-6,$F$2:$F116&gt;0)),1),"""")"),"")</f>
        <v/>
      </c>
    </row>
    <row r="117" ht="15.75" customHeight="1">
      <c r="A117" s="17">
        <f>'Meal Log'!$A$2+115</f>
        <v>46311</v>
      </c>
      <c r="B117" s="20">
        <f>IF($A117="","",SUMIFS('Meal Log'!$E:$E,'Meal Log'!$A:$A,$A117))</f>
        <v>0</v>
      </c>
      <c r="C117" s="20">
        <f>IF($A117="","",SUMIFS('Meal Log'!$F:$F,'Meal Log'!$A:$A,$A117))</f>
        <v>0</v>
      </c>
      <c r="D117" s="13" t="str">
        <f>IF($E117=0,"",ROUND(SUMIFS('Meal Log'!$G:$G,'Meal Log'!$A:$A,$A117)/$E117,1))</f>
        <v/>
      </c>
      <c r="E117" s="13">
        <f>COUNTIF('Meal Log'!$A:$A,$A117)</f>
        <v>0</v>
      </c>
      <c r="F117" s="13" t="str">
        <f>IFERROR(VLOOKUP($A117,'Weight Log'!$A:$B,2,FALSE),"")</f>
        <v/>
      </c>
      <c r="G117" s="13" t="str">
        <f>IFERROR(__xludf.DUMMYFUNCTION("IFERROR(ROUND(AVERAGE(FILTER($B$2:$B117,$A$2:$A117&gt;=$A117-6,$B$2:$B117&gt;0)),0),"""")"),"")</f>
        <v/>
      </c>
      <c r="H117" s="13" t="str">
        <f>IFERROR(__xludf.DUMMYFUNCTION("IFERROR(ROUND(AVERAGE(FILTER($F$2:$F117,$A$2:$A117&gt;=$A117-6,$F$2:$F117&gt;0)),1),"""")"),"")</f>
        <v/>
      </c>
    </row>
    <row r="118" ht="15.75" customHeight="1">
      <c r="A118" s="17">
        <f>'Meal Log'!$A$2+116</f>
        <v>46312</v>
      </c>
      <c r="B118" s="20">
        <f>IF($A118="","",SUMIFS('Meal Log'!$E:$E,'Meal Log'!$A:$A,$A118))</f>
        <v>0</v>
      </c>
      <c r="C118" s="20">
        <f>IF($A118="","",SUMIFS('Meal Log'!$F:$F,'Meal Log'!$A:$A,$A118))</f>
        <v>0</v>
      </c>
      <c r="D118" s="13" t="str">
        <f>IF($E118=0,"",ROUND(SUMIFS('Meal Log'!$G:$G,'Meal Log'!$A:$A,$A118)/$E118,1))</f>
        <v/>
      </c>
      <c r="E118" s="13">
        <f>COUNTIF('Meal Log'!$A:$A,$A118)</f>
        <v>0</v>
      </c>
      <c r="F118" s="13" t="str">
        <f>IFERROR(VLOOKUP($A118,'Weight Log'!$A:$B,2,FALSE),"")</f>
        <v/>
      </c>
      <c r="G118" s="13" t="str">
        <f>IFERROR(__xludf.DUMMYFUNCTION("IFERROR(ROUND(AVERAGE(FILTER($B$2:$B118,$A$2:$A118&gt;=$A118-6,$B$2:$B118&gt;0)),0),"""")"),"")</f>
        <v/>
      </c>
      <c r="H118" s="13" t="str">
        <f>IFERROR(__xludf.DUMMYFUNCTION("IFERROR(ROUND(AVERAGE(FILTER($F$2:$F118,$A$2:$A118&gt;=$A118-6,$F$2:$F118&gt;0)),1),"""")"),"")</f>
        <v/>
      </c>
    </row>
    <row r="119" ht="15.75" customHeight="1">
      <c r="A119" s="17">
        <f>'Meal Log'!$A$2+117</f>
        <v>46313</v>
      </c>
      <c r="B119" s="20">
        <f>IF($A119="","",SUMIFS('Meal Log'!$E:$E,'Meal Log'!$A:$A,$A119))</f>
        <v>0</v>
      </c>
      <c r="C119" s="20">
        <f>IF($A119="","",SUMIFS('Meal Log'!$F:$F,'Meal Log'!$A:$A,$A119))</f>
        <v>0</v>
      </c>
      <c r="D119" s="13" t="str">
        <f>IF($E119=0,"",ROUND(SUMIFS('Meal Log'!$G:$G,'Meal Log'!$A:$A,$A119)/$E119,1))</f>
        <v/>
      </c>
      <c r="E119" s="13">
        <f>COUNTIF('Meal Log'!$A:$A,$A119)</f>
        <v>0</v>
      </c>
      <c r="F119" s="13" t="str">
        <f>IFERROR(VLOOKUP($A119,'Weight Log'!$A:$B,2,FALSE),"")</f>
        <v/>
      </c>
      <c r="G119" s="13" t="str">
        <f>IFERROR(__xludf.DUMMYFUNCTION("IFERROR(ROUND(AVERAGE(FILTER($B$2:$B119,$A$2:$A119&gt;=$A119-6,$B$2:$B119&gt;0)),0),"""")"),"")</f>
        <v/>
      </c>
      <c r="H119" s="13" t="str">
        <f>IFERROR(__xludf.DUMMYFUNCTION("IFERROR(ROUND(AVERAGE(FILTER($F$2:$F119,$A$2:$A119&gt;=$A119-6,$F$2:$F119&gt;0)),1),"""")"),"")</f>
        <v/>
      </c>
    </row>
    <row r="120" ht="15.75" customHeight="1">
      <c r="A120" s="17">
        <f>'Meal Log'!$A$2+118</f>
        <v>46314</v>
      </c>
      <c r="B120" s="20">
        <f>IF($A120="","",SUMIFS('Meal Log'!$E:$E,'Meal Log'!$A:$A,$A120))</f>
        <v>0</v>
      </c>
      <c r="C120" s="20">
        <f>IF($A120="","",SUMIFS('Meal Log'!$F:$F,'Meal Log'!$A:$A,$A120))</f>
        <v>0</v>
      </c>
      <c r="D120" s="13" t="str">
        <f>IF($E120=0,"",ROUND(SUMIFS('Meal Log'!$G:$G,'Meal Log'!$A:$A,$A120)/$E120,1))</f>
        <v/>
      </c>
      <c r="E120" s="13">
        <f>COUNTIF('Meal Log'!$A:$A,$A120)</f>
        <v>0</v>
      </c>
      <c r="F120" s="13" t="str">
        <f>IFERROR(VLOOKUP($A120,'Weight Log'!$A:$B,2,FALSE),"")</f>
        <v/>
      </c>
      <c r="G120" s="13" t="str">
        <f>IFERROR(__xludf.DUMMYFUNCTION("IFERROR(ROUND(AVERAGE(FILTER($B$2:$B120,$A$2:$A120&gt;=$A120-6,$B$2:$B120&gt;0)),0),"""")"),"")</f>
        <v/>
      </c>
      <c r="H120" s="13" t="str">
        <f>IFERROR(__xludf.DUMMYFUNCTION("IFERROR(ROUND(AVERAGE(FILTER($F$2:$F120,$A$2:$A120&gt;=$A120-6,$F$2:$F120&gt;0)),1),"""")"),"")</f>
        <v/>
      </c>
    </row>
    <row r="121" ht="15.75" customHeight="1">
      <c r="A121" s="17">
        <f>'Meal Log'!$A$2+119</f>
        <v>46315</v>
      </c>
      <c r="B121" s="20">
        <f>IF($A121="","",SUMIFS('Meal Log'!$E:$E,'Meal Log'!$A:$A,$A121))</f>
        <v>0</v>
      </c>
      <c r="C121" s="20">
        <f>IF($A121="","",SUMIFS('Meal Log'!$F:$F,'Meal Log'!$A:$A,$A121))</f>
        <v>0</v>
      </c>
      <c r="D121" s="13" t="str">
        <f>IF($E121=0,"",ROUND(SUMIFS('Meal Log'!$G:$G,'Meal Log'!$A:$A,$A121)/$E121,1))</f>
        <v/>
      </c>
      <c r="E121" s="13">
        <f>COUNTIF('Meal Log'!$A:$A,$A121)</f>
        <v>0</v>
      </c>
      <c r="F121" s="13" t="str">
        <f>IFERROR(VLOOKUP($A121,'Weight Log'!$A:$B,2,FALSE),"")</f>
        <v/>
      </c>
      <c r="G121" s="13" t="str">
        <f>IFERROR(__xludf.DUMMYFUNCTION("IFERROR(ROUND(AVERAGE(FILTER($B$2:$B121,$A$2:$A121&gt;=$A121-6,$B$2:$B121&gt;0)),0),"""")"),"")</f>
        <v/>
      </c>
      <c r="H121" s="13" t="str">
        <f>IFERROR(__xludf.DUMMYFUNCTION("IFERROR(ROUND(AVERAGE(FILTER($F$2:$F121,$A$2:$A121&gt;=$A121-6,$F$2:$F121&gt;0)),1),"""")"),"")</f>
        <v/>
      </c>
    </row>
    <row r="122" ht="15.75" customHeight="1">
      <c r="A122" s="17">
        <f>'Meal Log'!$A$2+120</f>
        <v>46316</v>
      </c>
      <c r="B122" s="20">
        <f>IF($A122="","",SUMIFS('Meal Log'!$E:$E,'Meal Log'!$A:$A,$A122))</f>
        <v>0</v>
      </c>
      <c r="C122" s="20">
        <f>IF($A122="","",SUMIFS('Meal Log'!$F:$F,'Meal Log'!$A:$A,$A122))</f>
        <v>0</v>
      </c>
      <c r="D122" s="13" t="str">
        <f>IF($E122=0,"",ROUND(SUMIFS('Meal Log'!$G:$G,'Meal Log'!$A:$A,$A122)/$E122,1))</f>
        <v/>
      </c>
      <c r="E122" s="13">
        <f>COUNTIF('Meal Log'!$A:$A,$A122)</f>
        <v>0</v>
      </c>
      <c r="F122" s="13" t="str">
        <f>IFERROR(VLOOKUP($A122,'Weight Log'!$A:$B,2,FALSE),"")</f>
        <v/>
      </c>
      <c r="G122" s="13" t="str">
        <f>IFERROR(__xludf.DUMMYFUNCTION("IFERROR(ROUND(AVERAGE(FILTER($B$2:$B122,$A$2:$A122&gt;=$A122-6,$B$2:$B122&gt;0)),0),"""")"),"")</f>
        <v/>
      </c>
      <c r="H122" s="13" t="str">
        <f>IFERROR(__xludf.DUMMYFUNCTION("IFERROR(ROUND(AVERAGE(FILTER($F$2:$F122,$A$2:$A122&gt;=$A122-6,$F$2:$F122&gt;0)),1),"""")"),"")</f>
        <v/>
      </c>
    </row>
    <row r="123" ht="15.75" customHeight="1">
      <c r="A123" s="17">
        <f>'Meal Log'!$A$2+121</f>
        <v>46317</v>
      </c>
      <c r="B123" s="20">
        <f>IF($A123="","",SUMIFS('Meal Log'!$E:$E,'Meal Log'!$A:$A,$A123))</f>
        <v>0</v>
      </c>
      <c r="C123" s="20">
        <f>IF($A123="","",SUMIFS('Meal Log'!$F:$F,'Meal Log'!$A:$A,$A123))</f>
        <v>0</v>
      </c>
      <c r="D123" s="13" t="str">
        <f>IF($E123=0,"",ROUND(SUMIFS('Meal Log'!$G:$G,'Meal Log'!$A:$A,$A123)/$E123,1))</f>
        <v/>
      </c>
      <c r="E123" s="13">
        <f>COUNTIF('Meal Log'!$A:$A,$A123)</f>
        <v>0</v>
      </c>
      <c r="F123" s="13" t="str">
        <f>IFERROR(VLOOKUP($A123,'Weight Log'!$A:$B,2,FALSE),"")</f>
        <v/>
      </c>
      <c r="G123" s="13" t="str">
        <f>IFERROR(__xludf.DUMMYFUNCTION("IFERROR(ROUND(AVERAGE(FILTER($B$2:$B123,$A$2:$A123&gt;=$A123-6,$B$2:$B123&gt;0)),0),"""")"),"")</f>
        <v/>
      </c>
      <c r="H123" s="13" t="str">
        <f>IFERROR(__xludf.DUMMYFUNCTION("IFERROR(ROUND(AVERAGE(FILTER($F$2:$F123,$A$2:$A123&gt;=$A123-6,$F$2:$F123&gt;0)),1),"""")"),"")</f>
        <v/>
      </c>
    </row>
    <row r="124" ht="15.75" customHeight="1">
      <c r="A124" s="17">
        <f>'Meal Log'!$A$2+122</f>
        <v>46318</v>
      </c>
      <c r="B124" s="20">
        <f>IF($A124="","",SUMIFS('Meal Log'!$E:$E,'Meal Log'!$A:$A,$A124))</f>
        <v>0</v>
      </c>
      <c r="C124" s="20">
        <f>IF($A124="","",SUMIFS('Meal Log'!$F:$F,'Meal Log'!$A:$A,$A124))</f>
        <v>0</v>
      </c>
      <c r="D124" s="13" t="str">
        <f>IF($E124=0,"",ROUND(SUMIFS('Meal Log'!$G:$G,'Meal Log'!$A:$A,$A124)/$E124,1))</f>
        <v/>
      </c>
      <c r="E124" s="13">
        <f>COUNTIF('Meal Log'!$A:$A,$A124)</f>
        <v>0</v>
      </c>
      <c r="F124" s="13" t="str">
        <f>IFERROR(VLOOKUP($A124,'Weight Log'!$A:$B,2,FALSE),"")</f>
        <v/>
      </c>
      <c r="G124" s="13" t="str">
        <f>IFERROR(__xludf.DUMMYFUNCTION("IFERROR(ROUND(AVERAGE(FILTER($B$2:$B124,$A$2:$A124&gt;=$A124-6,$B$2:$B124&gt;0)),0),"""")"),"")</f>
        <v/>
      </c>
      <c r="H124" s="13" t="str">
        <f>IFERROR(__xludf.DUMMYFUNCTION("IFERROR(ROUND(AVERAGE(FILTER($F$2:$F124,$A$2:$A124&gt;=$A124-6,$F$2:$F124&gt;0)),1),"""")"),"")</f>
        <v/>
      </c>
    </row>
    <row r="125" ht="15.75" customHeight="1">
      <c r="A125" s="17">
        <f>'Meal Log'!$A$2+123</f>
        <v>46319</v>
      </c>
      <c r="B125" s="20">
        <f>IF($A125="","",SUMIFS('Meal Log'!$E:$E,'Meal Log'!$A:$A,$A125))</f>
        <v>0</v>
      </c>
      <c r="C125" s="20">
        <f>IF($A125="","",SUMIFS('Meal Log'!$F:$F,'Meal Log'!$A:$A,$A125))</f>
        <v>0</v>
      </c>
      <c r="D125" s="13" t="str">
        <f>IF($E125=0,"",ROUND(SUMIFS('Meal Log'!$G:$G,'Meal Log'!$A:$A,$A125)/$E125,1))</f>
        <v/>
      </c>
      <c r="E125" s="13">
        <f>COUNTIF('Meal Log'!$A:$A,$A125)</f>
        <v>0</v>
      </c>
      <c r="F125" s="13" t="str">
        <f>IFERROR(VLOOKUP($A125,'Weight Log'!$A:$B,2,FALSE),"")</f>
        <v/>
      </c>
      <c r="G125" s="13" t="str">
        <f>IFERROR(__xludf.DUMMYFUNCTION("IFERROR(ROUND(AVERAGE(FILTER($B$2:$B125,$A$2:$A125&gt;=$A125-6,$B$2:$B125&gt;0)),0),"""")"),"")</f>
        <v/>
      </c>
      <c r="H125" s="13" t="str">
        <f>IFERROR(__xludf.DUMMYFUNCTION("IFERROR(ROUND(AVERAGE(FILTER($F$2:$F125,$A$2:$A125&gt;=$A125-6,$F$2:$F125&gt;0)),1),"""")"),"")</f>
        <v/>
      </c>
    </row>
    <row r="126" ht="15.75" customHeight="1">
      <c r="A126" s="17">
        <f>'Meal Log'!$A$2+124</f>
        <v>46320</v>
      </c>
      <c r="B126" s="20">
        <f>IF($A126="","",SUMIFS('Meal Log'!$E:$E,'Meal Log'!$A:$A,$A126))</f>
        <v>0</v>
      </c>
      <c r="C126" s="20">
        <f>IF($A126="","",SUMIFS('Meal Log'!$F:$F,'Meal Log'!$A:$A,$A126))</f>
        <v>0</v>
      </c>
      <c r="D126" s="13" t="str">
        <f>IF($E126=0,"",ROUND(SUMIFS('Meal Log'!$G:$G,'Meal Log'!$A:$A,$A126)/$E126,1))</f>
        <v/>
      </c>
      <c r="E126" s="13">
        <f>COUNTIF('Meal Log'!$A:$A,$A126)</f>
        <v>0</v>
      </c>
      <c r="F126" s="13" t="str">
        <f>IFERROR(VLOOKUP($A126,'Weight Log'!$A:$B,2,FALSE),"")</f>
        <v/>
      </c>
      <c r="G126" s="13" t="str">
        <f>IFERROR(__xludf.DUMMYFUNCTION("IFERROR(ROUND(AVERAGE(FILTER($B$2:$B126,$A$2:$A126&gt;=$A126-6,$B$2:$B126&gt;0)),0),"""")"),"")</f>
        <v/>
      </c>
      <c r="H126" s="13" t="str">
        <f>IFERROR(__xludf.DUMMYFUNCTION("IFERROR(ROUND(AVERAGE(FILTER($F$2:$F126,$A$2:$A126&gt;=$A126-6,$F$2:$F126&gt;0)),1),"""")"),"")</f>
        <v/>
      </c>
    </row>
    <row r="127" ht="15.75" customHeight="1">
      <c r="A127" s="17">
        <f>'Meal Log'!$A$2+125</f>
        <v>46321</v>
      </c>
      <c r="B127" s="20">
        <f>IF($A127="","",SUMIFS('Meal Log'!$E:$E,'Meal Log'!$A:$A,$A127))</f>
        <v>0</v>
      </c>
      <c r="C127" s="20">
        <f>IF($A127="","",SUMIFS('Meal Log'!$F:$F,'Meal Log'!$A:$A,$A127))</f>
        <v>0</v>
      </c>
      <c r="D127" s="13" t="str">
        <f>IF($E127=0,"",ROUND(SUMIFS('Meal Log'!$G:$G,'Meal Log'!$A:$A,$A127)/$E127,1))</f>
        <v/>
      </c>
      <c r="E127" s="13">
        <f>COUNTIF('Meal Log'!$A:$A,$A127)</f>
        <v>0</v>
      </c>
      <c r="F127" s="13" t="str">
        <f>IFERROR(VLOOKUP($A127,'Weight Log'!$A:$B,2,FALSE),"")</f>
        <v/>
      </c>
      <c r="G127" s="13" t="str">
        <f>IFERROR(__xludf.DUMMYFUNCTION("IFERROR(ROUND(AVERAGE(FILTER($B$2:$B127,$A$2:$A127&gt;=$A127-6,$B$2:$B127&gt;0)),0),"""")"),"")</f>
        <v/>
      </c>
      <c r="H127" s="13" t="str">
        <f>IFERROR(__xludf.DUMMYFUNCTION("IFERROR(ROUND(AVERAGE(FILTER($F$2:$F127,$A$2:$A127&gt;=$A127-6,$F$2:$F127&gt;0)),1),"""")"),"")</f>
        <v/>
      </c>
    </row>
    <row r="128" ht="15.75" customHeight="1">
      <c r="A128" s="17">
        <f>'Meal Log'!$A$2+126</f>
        <v>46322</v>
      </c>
      <c r="B128" s="20">
        <f>IF($A128="","",SUMIFS('Meal Log'!$E:$E,'Meal Log'!$A:$A,$A128))</f>
        <v>0</v>
      </c>
      <c r="C128" s="20">
        <f>IF($A128="","",SUMIFS('Meal Log'!$F:$F,'Meal Log'!$A:$A,$A128))</f>
        <v>0</v>
      </c>
      <c r="D128" s="13" t="str">
        <f>IF($E128=0,"",ROUND(SUMIFS('Meal Log'!$G:$G,'Meal Log'!$A:$A,$A128)/$E128,1))</f>
        <v/>
      </c>
      <c r="E128" s="13">
        <f>COUNTIF('Meal Log'!$A:$A,$A128)</f>
        <v>0</v>
      </c>
      <c r="F128" s="13" t="str">
        <f>IFERROR(VLOOKUP($A128,'Weight Log'!$A:$B,2,FALSE),"")</f>
        <v/>
      </c>
      <c r="G128" s="13" t="str">
        <f>IFERROR(__xludf.DUMMYFUNCTION("IFERROR(ROUND(AVERAGE(FILTER($B$2:$B128,$A$2:$A128&gt;=$A128-6,$B$2:$B128&gt;0)),0),"""")"),"")</f>
        <v/>
      </c>
      <c r="H128" s="13" t="str">
        <f>IFERROR(__xludf.DUMMYFUNCTION("IFERROR(ROUND(AVERAGE(FILTER($F$2:$F128,$A$2:$A128&gt;=$A128-6,$F$2:$F128&gt;0)),1),"""")"),"")</f>
        <v/>
      </c>
    </row>
    <row r="129" ht="15.75" customHeight="1">
      <c r="A129" s="17">
        <f>'Meal Log'!$A$2+127</f>
        <v>46323</v>
      </c>
      <c r="B129" s="20">
        <f>IF($A129="","",SUMIFS('Meal Log'!$E:$E,'Meal Log'!$A:$A,$A129))</f>
        <v>0</v>
      </c>
      <c r="C129" s="20">
        <f>IF($A129="","",SUMIFS('Meal Log'!$F:$F,'Meal Log'!$A:$A,$A129))</f>
        <v>0</v>
      </c>
      <c r="D129" s="13" t="str">
        <f>IF($E129=0,"",ROUND(SUMIFS('Meal Log'!$G:$G,'Meal Log'!$A:$A,$A129)/$E129,1))</f>
        <v/>
      </c>
      <c r="E129" s="13">
        <f>COUNTIF('Meal Log'!$A:$A,$A129)</f>
        <v>0</v>
      </c>
      <c r="F129" s="13" t="str">
        <f>IFERROR(VLOOKUP($A129,'Weight Log'!$A:$B,2,FALSE),"")</f>
        <v/>
      </c>
      <c r="G129" s="13" t="str">
        <f>IFERROR(__xludf.DUMMYFUNCTION("IFERROR(ROUND(AVERAGE(FILTER($B$2:$B129,$A$2:$A129&gt;=$A129-6,$B$2:$B129&gt;0)),0),"""")"),"")</f>
        <v/>
      </c>
      <c r="H129" s="13" t="str">
        <f>IFERROR(__xludf.DUMMYFUNCTION("IFERROR(ROUND(AVERAGE(FILTER($F$2:$F129,$A$2:$A129&gt;=$A129-6,$F$2:$F129&gt;0)),1),"""")"),"")</f>
        <v/>
      </c>
    </row>
    <row r="130" ht="15.75" customHeight="1">
      <c r="A130" s="17">
        <f>'Meal Log'!$A$2+128</f>
        <v>46324</v>
      </c>
      <c r="B130" s="20">
        <f>IF($A130="","",SUMIFS('Meal Log'!$E:$E,'Meal Log'!$A:$A,$A130))</f>
        <v>0</v>
      </c>
      <c r="C130" s="20">
        <f>IF($A130="","",SUMIFS('Meal Log'!$F:$F,'Meal Log'!$A:$A,$A130))</f>
        <v>0</v>
      </c>
      <c r="D130" s="13" t="str">
        <f>IF($E130=0,"",ROUND(SUMIFS('Meal Log'!$G:$G,'Meal Log'!$A:$A,$A130)/$E130,1))</f>
        <v/>
      </c>
      <c r="E130" s="13">
        <f>COUNTIF('Meal Log'!$A:$A,$A130)</f>
        <v>0</v>
      </c>
      <c r="F130" s="13" t="str">
        <f>IFERROR(VLOOKUP($A130,'Weight Log'!$A:$B,2,FALSE),"")</f>
        <v/>
      </c>
      <c r="G130" s="13" t="str">
        <f>IFERROR(__xludf.DUMMYFUNCTION("IFERROR(ROUND(AVERAGE(FILTER($B$2:$B130,$A$2:$A130&gt;=$A130-6,$B$2:$B130&gt;0)),0),"""")"),"")</f>
        <v/>
      </c>
      <c r="H130" s="13" t="str">
        <f>IFERROR(__xludf.DUMMYFUNCTION("IFERROR(ROUND(AVERAGE(FILTER($F$2:$F130,$A$2:$A130&gt;=$A130-6,$F$2:$F130&gt;0)),1),"""")"),"")</f>
        <v/>
      </c>
    </row>
    <row r="131" ht="15.75" customHeight="1">
      <c r="A131" s="17">
        <f>'Meal Log'!$A$2+129</f>
        <v>46325</v>
      </c>
      <c r="B131" s="20">
        <f>IF($A131="","",SUMIFS('Meal Log'!$E:$E,'Meal Log'!$A:$A,$A131))</f>
        <v>0</v>
      </c>
      <c r="C131" s="20">
        <f>IF($A131="","",SUMIFS('Meal Log'!$F:$F,'Meal Log'!$A:$A,$A131))</f>
        <v>0</v>
      </c>
      <c r="D131" s="13" t="str">
        <f>IF($E131=0,"",ROUND(SUMIFS('Meal Log'!$G:$G,'Meal Log'!$A:$A,$A131)/$E131,1))</f>
        <v/>
      </c>
      <c r="E131" s="13">
        <f>COUNTIF('Meal Log'!$A:$A,$A131)</f>
        <v>0</v>
      </c>
      <c r="F131" s="13" t="str">
        <f>IFERROR(VLOOKUP($A131,'Weight Log'!$A:$B,2,FALSE),"")</f>
        <v/>
      </c>
      <c r="G131" s="13" t="str">
        <f>IFERROR(__xludf.DUMMYFUNCTION("IFERROR(ROUND(AVERAGE(FILTER($B$2:$B131,$A$2:$A131&gt;=$A131-6,$B$2:$B131&gt;0)),0),"""")"),"")</f>
        <v/>
      </c>
      <c r="H131" s="13" t="str">
        <f>IFERROR(__xludf.DUMMYFUNCTION("IFERROR(ROUND(AVERAGE(FILTER($F$2:$F131,$A$2:$A131&gt;=$A131-6,$F$2:$F131&gt;0)),1),"""")"),"")</f>
        <v/>
      </c>
    </row>
    <row r="132" ht="15.75" customHeight="1">
      <c r="A132" s="17">
        <f>'Meal Log'!$A$2+130</f>
        <v>46326</v>
      </c>
      <c r="B132" s="20">
        <f>IF($A132="","",SUMIFS('Meal Log'!$E:$E,'Meal Log'!$A:$A,$A132))</f>
        <v>0</v>
      </c>
      <c r="C132" s="20">
        <f>IF($A132="","",SUMIFS('Meal Log'!$F:$F,'Meal Log'!$A:$A,$A132))</f>
        <v>0</v>
      </c>
      <c r="D132" s="13" t="str">
        <f>IF($E132=0,"",ROUND(SUMIFS('Meal Log'!$G:$G,'Meal Log'!$A:$A,$A132)/$E132,1))</f>
        <v/>
      </c>
      <c r="E132" s="13">
        <f>COUNTIF('Meal Log'!$A:$A,$A132)</f>
        <v>0</v>
      </c>
      <c r="F132" s="13" t="str">
        <f>IFERROR(VLOOKUP($A132,'Weight Log'!$A:$B,2,FALSE),"")</f>
        <v/>
      </c>
      <c r="G132" s="13" t="str">
        <f>IFERROR(__xludf.DUMMYFUNCTION("IFERROR(ROUND(AVERAGE(FILTER($B$2:$B132,$A$2:$A132&gt;=$A132-6,$B$2:$B132&gt;0)),0),"""")"),"")</f>
        <v/>
      </c>
      <c r="H132" s="13" t="str">
        <f>IFERROR(__xludf.DUMMYFUNCTION("IFERROR(ROUND(AVERAGE(FILTER($F$2:$F132,$A$2:$A132&gt;=$A132-6,$F$2:$F132&gt;0)),1),"""")"),"")</f>
        <v/>
      </c>
    </row>
    <row r="133" ht="15.75" customHeight="1">
      <c r="A133" s="17">
        <f>'Meal Log'!$A$2+131</f>
        <v>46327</v>
      </c>
      <c r="B133" s="20">
        <f>IF($A133="","",SUMIFS('Meal Log'!$E:$E,'Meal Log'!$A:$A,$A133))</f>
        <v>0</v>
      </c>
      <c r="C133" s="20">
        <f>IF($A133="","",SUMIFS('Meal Log'!$F:$F,'Meal Log'!$A:$A,$A133))</f>
        <v>0</v>
      </c>
      <c r="D133" s="13" t="str">
        <f>IF($E133=0,"",ROUND(SUMIFS('Meal Log'!$G:$G,'Meal Log'!$A:$A,$A133)/$E133,1))</f>
        <v/>
      </c>
      <c r="E133" s="13">
        <f>COUNTIF('Meal Log'!$A:$A,$A133)</f>
        <v>0</v>
      </c>
      <c r="F133" s="13" t="str">
        <f>IFERROR(VLOOKUP($A133,'Weight Log'!$A:$B,2,FALSE),"")</f>
        <v/>
      </c>
      <c r="G133" s="13" t="str">
        <f>IFERROR(__xludf.DUMMYFUNCTION("IFERROR(ROUND(AVERAGE(FILTER($B$2:$B133,$A$2:$A133&gt;=$A133-6,$B$2:$B133&gt;0)),0),"""")"),"")</f>
        <v/>
      </c>
      <c r="H133" s="13" t="str">
        <f>IFERROR(__xludf.DUMMYFUNCTION("IFERROR(ROUND(AVERAGE(FILTER($F$2:$F133,$A$2:$A133&gt;=$A133-6,$F$2:$F133&gt;0)),1),"""")"),"")</f>
        <v/>
      </c>
    </row>
    <row r="134" ht="15.75" customHeight="1">
      <c r="A134" s="17">
        <f>'Meal Log'!$A$2+132</f>
        <v>46328</v>
      </c>
      <c r="B134" s="20">
        <f>IF($A134="","",SUMIFS('Meal Log'!$E:$E,'Meal Log'!$A:$A,$A134))</f>
        <v>0</v>
      </c>
      <c r="C134" s="20">
        <f>IF($A134="","",SUMIFS('Meal Log'!$F:$F,'Meal Log'!$A:$A,$A134))</f>
        <v>0</v>
      </c>
      <c r="D134" s="13" t="str">
        <f>IF($E134=0,"",ROUND(SUMIFS('Meal Log'!$G:$G,'Meal Log'!$A:$A,$A134)/$E134,1))</f>
        <v/>
      </c>
      <c r="E134" s="13">
        <f>COUNTIF('Meal Log'!$A:$A,$A134)</f>
        <v>0</v>
      </c>
      <c r="F134" s="13" t="str">
        <f>IFERROR(VLOOKUP($A134,'Weight Log'!$A:$B,2,FALSE),"")</f>
        <v/>
      </c>
      <c r="G134" s="13" t="str">
        <f>IFERROR(__xludf.DUMMYFUNCTION("IFERROR(ROUND(AVERAGE(FILTER($B$2:$B134,$A$2:$A134&gt;=$A134-6,$B$2:$B134&gt;0)),0),"""")"),"")</f>
        <v/>
      </c>
      <c r="H134" s="13" t="str">
        <f>IFERROR(__xludf.DUMMYFUNCTION("IFERROR(ROUND(AVERAGE(FILTER($F$2:$F134,$A$2:$A134&gt;=$A134-6,$F$2:$F134&gt;0)),1),"""")"),"")</f>
        <v/>
      </c>
    </row>
    <row r="135" ht="15.75" customHeight="1">
      <c r="A135" s="17">
        <f>'Meal Log'!$A$2+133</f>
        <v>46329</v>
      </c>
      <c r="B135" s="20">
        <f>IF($A135="","",SUMIFS('Meal Log'!$E:$E,'Meal Log'!$A:$A,$A135))</f>
        <v>0</v>
      </c>
      <c r="C135" s="20">
        <f>IF($A135="","",SUMIFS('Meal Log'!$F:$F,'Meal Log'!$A:$A,$A135))</f>
        <v>0</v>
      </c>
      <c r="D135" s="13" t="str">
        <f>IF($E135=0,"",ROUND(SUMIFS('Meal Log'!$G:$G,'Meal Log'!$A:$A,$A135)/$E135,1))</f>
        <v/>
      </c>
      <c r="E135" s="13">
        <f>COUNTIF('Meal Log'!$A:$A,$A135)</f>
        <v>0</v>
      </c>
      <c r="F135" s="13" t="str">
        <f>IFERROR(VLOOKUP($A135,'Weight Log'!$A:$B,2,FALSE),"")</f>
        <v/>
      </c>
      <c r="G135" s="13" t="str">
        <f>IFERROR(__xludf.DUMMYFUNCTION("IFERROR(ROUND(AVERAGE(FILTER($B$2:$B135,$A$2:$A135&gt;=$A135-6,$B$2:$B135&gt;0)),0),"""")"),"")</f>
        <v/>
      </c>
      <c r="H135" s="13" t="str">
        <f>IFERROR(__xludf.DUMMYFUNCTION("IFERROR(ROUND(AVERAGE(FILTER($F$2:$F135,$A$2:$A135&gt;=$A135-6,$F$2:$F135&gt;0)),1),"""")"),"")</f>
        <v/>
      </c>
    </row>
    <row r="136" ht="15.75" customHeight="1">
      <c r="A136" s="17">
        <f>'Meal Log'!$A$2+134</f>
        <v>46330</v>
      </c>
      <c r="B136" s="20">
        <f>IF($A136="","",SUMIFS('Meal Log'!$E:$E,'Meal Log'!$A:$A,$A136))</f>
        <v>0</v>
      </c>
      <c r="C136" s="20">
        <f>IF($A136="","",SUMIFS('Meal Log'!$F:$F,'Meal Log'!$A:$A,$A136))</f>
        <v>0</v>
      </c>
      <c r="D136" s="13" t="str">
        <f>IF($E136=0,"",ROUND(SUMIFS('Meal Log'!$G:$G,'Meal Log'!$A:$A,$A136)/$E136,1))</f>
        <v/>
      </c>
      <c r="E136" s="13">
        <f>COUNTIF('Meal Log'!$A:$A,$A136)</f>
        <v>0</v>
      </c>
      <c r="F136" s="13" t="str">
        <f>IFERROR(VLOOKUP($A136,'Weight Log'!$A:$B,2,FALSE),"")</f>
        <v/>
      </c>
      <c r="G136" s="13" t="str">
        <f>IFERROR(__xludf.DUMMYFUNCTION("IFERROR(ROUND(AVERAGE(FILTER($B$2:$B136,$A$2:$A136&gt;=$A136-6,$B$2:$B136&gt;0)),0),"""")"),"")</f>
        <v/>
      </c>
      <c r="H136" s="13" t="str">
        <f>IFERROR(__xludf.DUMMYFUNCTION("IFERROR(ROUND(AVERAGE(FILTER($F$2:$F136,$A$2:$A136&gt;=$A136-6,$F$2:$F136&gt;0)),1),"""")"),"")</f>
        <v/>
      </c>
    </row>
    <row r="137" ht="15.75" customHeight="1">
      <c r="A137" s="17">
        <f>'Meal Log'!$A$2+135</f>
        <v>46331</v>
      </c>
      <c r="B137" s="20">
        <f>IF($A137="","",SUMIFS('Meal Log'!$E:$E,'Meal Log'!$A:$A,$A137))</f>
        <v>0</v>
      </c>
      <c r="C137" s="20">
        <f>IF($A137="","",SUMIFS('Meal Log'!$F:$F,'Meal Log'!$A:$A,$A137))</f>
        <v>0</v>
      </c>
      <c r="D137" s="13" t="str">
        <f>IF($E137=0,"",ROUND(SUMIFS('Meal Log'!$G:$G,'Meal Log'!$A:$A,$A137)/$E137,1))</f>
        <v/>
      </c>
      <c r="E137" s="13">
        <f>COUNTIF('Meal Log'!$A:$A,$A137)</f>
        <v>0</v>
      </c>
      <c r="F137" s="13" t="str">
        <f>IFERROR(VLOOKUP($A137,'Weight Log'!$A:$B,2,FALSE),"")</f>
        <v/>
      </c>
      <c r="G137" s="13" t="str">
        <f>IFERROR(__xludf.DUMMYFUNCTION("IFERROR(ROUND(AVERAGE(FILTER($B$2:$B137,$A$2:$A137&gt;=$A137-6,$B$2:$B137&gt;0)),0),"""")"),"")</f>
        <v/>
      </c>
      <c r="H137" s="13" t="str">
        <f>IFERROR(__xludf.DUMMYFUNCTION("IFERROR(ROUND(AVERAGE(FILTER($F$2:$F137,$A$2:$A137&gt;=$A137-6,$F$2:$F137&gt;0)),1),"""")"),"")</f>
        <v/>
      </c>
    </row>
    <row r="138" ht="15.75" customHeight="1">
      <c r="A138" s="17">
        <f>'Meal Log'!$A$2+136</f>
        <v>46332</v>
      </c>
      <c r="B138" s="20">
        <f>IF($A138="","",SUMIFS('Meal Log'!$E:$E,'Meal Log'!$A:$A,$A138))</f>
        <v>0</v>
      </c>
      <c r="C138" s="20">
        <f>IF($A138="","",SUMIFS('Meal Log'!$F:$F,'Meal Log'!$A:$A,$A138))</f>
        <v>0</v>
      </c>
      <c r="D138" s="13" t="str">
        <f>IF($E138=0,"",ROUND(SUMIFS('Meal Log'!$G:$G,'Meal Log'!$A:$A,$A138)/$E138,1))</f>
        <v/>
      </c>
      <c r="E138" s="13">
        <f>COUNTIF('Meal Log'!$A:$A,$A138)</f>
        <v>0</v>
      </c>
      <c r="F138" s="13" t="str">
        <f>IFERROR(VLOOKUP($A138,'Weight Log'!$A:$B,2,FALSE),"")</f>
        <v/>
      </c>
      <c r="G138" s="13" t="str">
        <f>IFERROR(__xludf.DUMMYFUNCTION("IFERROR(ROUND(AVERAGE(FILTER($B$2:$B138,$A$2:$A138&gt;=$A138-6,$B$2:$B138&gt;0)),0),"""")"),"")</f>
        <v/>
      </c>
      <c r="H138" s="13" t="str">
        <f>IFERROR(__xludf.DUMMYFUNCTION("IFERROR(ROUND(AVERAGE(FILTER($F$2:$F138,$A$2:$A138&gt;=$A138-6,$F$2:$F138&gt;0)),1),"""")"),"")</f>
        <v/>
      </c>
    </row>
    <row r="139" ht="15.75" customHeight="1">
      <c r="A139" s="17">
        <f>'Meal Log'!$A$2+137</f>
        <v>46333</v>
      </c>
      <c r="B139" s="20">
        <f>IF($A139="","",SUMIFS('Meal Log'!$E:$E,'Meal Log'!$A:$A,$A139))</f>
        <v>0</v>
      </c>
      <c r="C139" s="20">
        <f>IF($A139="","",SUMIFS('Meal Log'!$F:$F,'Meal Log'!$A:$A,$A139))</f>
        <v>0</v>
      </c>
      <c r="D139" s="13" t="str">
        <f>IF($E139=0,"",ROUND(SUMIFS('Meal Log'!$G:$G,'Meal Log'!$A:$A,$A139)/$E139,1))</f>
        <v/>
      </c>
      <c r="E139" s="13">
        <f>COUNTIF('Meal Log'!$A:$A,$A139)</f>
        <v>0</v>
      </c>
      <c r="F139" s="13" t="str">
        <f>IFERROR(VLOOKUP($A139,'Weight Log'!$A:$B,2,FALSE),"")</f>
        <v/>
      </c>
      <c r="G139" s="13" t="str">
        <f>IFERROR(__xludf.DUMMYFUNCTION("IFERROR(ROUND(AVERAGE(FILTER($B$2:$B139,$A$2:$A139&gt;=$A139-6,$B$2:$B139&gt;0)),0),"""")"),"")</f>
        <v/>
      </c>
      <c r="H139" s="13" t="str">
        <f>IFERROR(__xludf.DUMMYFUNCTION("IFERROR(ROUND(AVERAGE(FILTER($F$2:$F139,$A$2:$A139&gt;=$A139-6,$F$2:$F139&gt;0)),1),"""")"),"")</f>
        <v/>
      </c>
    </row>
    <row r="140" ht="15.75" customHeight="1">
      <c r="A140" s="17">
        <f>'Meal Log'!$A$2+138</f>
        <v>46334</v>
      </c>
      <c r="B140" s="20">
        <f>IF($A140="","",SUMIFS('Meal Log'!$E:$E,'Meal Log'!$A:$A,$A140))</f>
        <v>0</v>
      </c>
      <c r="C140" s="20">
        <f>IF($A140="","",SUMIFS('Meal Log'!$F:$F,'Meal Log'!$A:$A,$A140))</f>
        <v>0</v>
      </c>
      <c r="D140" s="13" t="str">
        <f>IF($E140=0,"",ROUND(SUMIFS('Meal Log'!$G:$G,'Meal Log'!$A:$A,$A140)/$E140,1))</f>
        <v/>
      </c>
      <c r="E140" s="13">
        <f>COUNTIF('Meal Log'!$A:$A,$A140)</f>
        <v>0</v>
      </c>
      <c r="F140" s="13" t="str">
        <f>IFERROR(VLOOKUP($A140,'Weight Log'!$A:$B,2,FALSE),"")</f>
        <v/>
      </c>
      <c r="G140" s="13" t="str">
        <f>IFERROR(__xludf.DUMMYFUNCTION("IFERROR(ROUND(AVERAGE(FILTER($B$2:$B140,$A$2:$A140&gt;=$A140-6,$B$2:$B140&gt;0)),0),"""")"),"")</f>
        <v/>
      </c>
      <c r="H140" s="13" t="str">
        <f>IFERROR(__xludf.DUMMYFUNCTION("IFERROR(ROUND(AVERAGE(FILTER($F$2:$F140,$A$2:$A140&gt;=$A140-6,$F$2:$F140&gt;0)),1),"""")"),"")</f>
        <v/>
      </c>
    </row>
    <row r="141" ht="15.75" customHeight="1">
      <c r="A141" s="17">
        <f>'Meal Log'!$A$2+139</f>
        <v>46335</v>
      </c>
      <c r="B141" s="20">
        <f>IF($A141="","",SUMIFS('Meal Log'!$E:$E,'Meal Log'!$A:$A,$A141))</f>
        <v>0</v>
      </c>
      <c r="C141" s="20">
        <f>IF($A141="","",SUMIFS('Meal Log'!$F:$F,'Meal Log'!$A:$A,$A141))</f>
        <v>0</v>
      </c>
      <c r="D141" s="13" t="str">
        <f>IF($E141=0,"",ROUND(SUMIFS('Meal Log'!$G:$G,'Meal Log'!$A:$A,$A141)/$E141,1))</f>
        <v/>
      </c>
      <c r="E141" s="13">
        <f>COUNTIF('Meal Log'!$A:$A,$A141)</f>
        <v>0</v>
      </c>
      <c r="F141" s="13" t="str">
        <f>IFERROR(VLOOKUP($A141,'Weight Log'!$A:$B,2,FALSE),"")</f>
        <v/>
      </c>
      <c r="G141" s="13" t="str">
        <f>IFERROR(__xludf.DUMMYFUNCTION("IFERROR(ROUND(AVERAGE(FILTER($B$2:$B141,$A$2:$A141&gt;=$A141-6,$B$2:$B141&gt;0)),0),"""")"),"")</f>
        <v/>
      </c>
      <c r="H141" s="13" t="str">
        <f>IFERROR(__xludf.DUMMYFUNCTION("IFERROR(ROUND(AVERAGE(FILTER($F$2:$F141,$A$2:$A141&gt;=$A141-6,$F$2:$F141&gt;0)),1),"""")"),"")</f>
        <v/>
      </c>
    </row>
    <row r="142" ht="15.75" customHeight="1">
      <c r="A142" s="17">
        <f>'Meal Log'!$A$2+140</f>
        <v>46336</v>
      </c>
      <c r="B142" s="20">
        <f>IF($A142="","",SUMIFS('Meal Log'!$E:$E,'Meal Log'!$A:$A,$A142))</f>
        <v>0</v>
      </c>
      <c r="C142" s="20">
        <f>IF($A142="","",SUMIFS('Meal Log'!$F:$F,'Meal Log'!$A:$A,$A142))</f>
        <v>0</v>
      </c>
      <c r="D142" s="13" t="str">
        <f>IF($E142=0,"",ROUND(SUMIFS('Meal Log'!$G:$G,'Meal Log'!$A:$A,$A142)/$E142,1))</f>
        <v/>
      </c>
      <c r="E142" s="13">
        <f>COUNTIF('Meal Log'!$A:$A,$A142)</f>
        <v>0</v>
      </c>
      <c r="F142" s="13" t="str">
        <f>IFERROR(VLOOKUP($A142,'Weight Log'!$A:$B,2,FALSE),"")</f>
        <v/>
      </c>
      <c r="G142" s="13" t="str">
        <f>IFERROR(__xludf.DUMMYFUNCTION("IFERROR(ROUND(AVERAGE(FILTER($B$2:$B142,$A$2:$A142&gt;=$A142-6,$B$2:$B142&gt;0)),0),"""")"),"")</f>
        <v/>
      </c>
      <c r="H142" s="13" t="str">
        <f>IFERROR(__xludf.DUMMYFUNCTION("IFERROR(ROUND(AVERAGE(FILTER($F$2:$F142,$A$2:$A142&gt;=$A142-6,$F$2:$F142&gt;0)),1),"""")"),"")</f>
        <v/>
      </c>
    </row>
    <row r="143" ht="15.75" customHeight="1">
      <c r="A143" s="17">
        <f>'Meal Log'!$A$2+141</f>
        <v>46337</v>
      </c>
      <c r="B143" s="20">
        <f>IF($A143="","",SUMIFS('Meal Log'!$E:$E,'Meal Log'!$A:$A,$A143))</f>
        <v>0</v>
      </c>
      <c r="C143" s="20">
        <f>IF($A143="","",SUMIFS('Meal Log'!$F:$F,'Meal Log'!$A:$A,$A143))</f>
        <v>0</v>
      </c>
      <c r="D143" s="13" t="str">
        <f>IF($E143=0,"",ROUND(SUMIFS('Meal Log'!$G:$G,'Meal Log'!$A:$A,$A143)/$E143,1))</f>
        <v/>
      </c>
      <c r="E143" s="13">
        <f>COUNTIF('Meal Log'!$A:$A,$A143)</f>
        <v>0</v>
      </c>
      <c r="F143" s="13" t="str">
        <f>IFERROR(VLOOKUP($A143,'Weight Log'!$A:$B,2,FALSE),"")</f>
        <v/>
      </c>
      <c r="G143" s="13" t="str">
        <f>IFERROR(__xludf.DUMMYFUNCTION("IFERROR(ROUND(AVERAGE(FILTER($B$2:$B143,$A$2:$A143&gt;=$A143-6,$B$2:$B143&gt;0)),0),"""")"),"")</f>
        <v/>
      </c>
      <c r="H143" s="13" t="str">
        <f>IFERROR(__xludf.DUMMYFUNCTION("IFERROR(ROUND(AVERAGE(FILTER($F$2:$F143,$A$2:$A143&gt;=$A143-6,$F$2:$F143&gt;0)),1),"""")"),"")</f>
        <v/>
      </c>
    </row>
    <row r="144" ht="15.75" customHeight="1">
      <c r="A144" s="17">
        <f>'Meal Log'!$A$2+142</f>
        <v>46338</v>
      </c>
      <c r="B144" s="20">
        <f>IF($A144="","",SUMIFS('Meal Log'!$E:$E,'Meal Log'!$A:$A,$A144))</f>
        <v>0</v>
      </c>
      <c r="C144" s="20">
        <f>IF($A144="","",SUMIFS('Meal Log'!$F:$F,'Meal Log'!$A:$A,$A144))</f>
        <v>0</v>
      </c>
      <c r="D144" s="13" t="str">
        <f>IF($E144=0,"",ROUND(SUMIFS('Meal Log'!$G:$G,'Meal Log'!$A:$A,$A144)/$E144,1))</f>
        <v/>
      </c>
      <c r="E144" s="13">
        <f>COUNTIF('Meal Log'!$A:$A,$A144)</f>
        <v>0</v>
      </c>
      <c r="F144" s="13" t="str">
        <f>IFERROR(VLOOKUP($A144,'Weight Log'!$A:$B,2,FALSE),"")</f>
        <v/>
      </c>
      <c r="G144" s="13" t="str">
        <f>IFERROR(__xludf.DUMMYFUNCTION("IFERROR(ROUND(AVERAGE(FILTER($B$2:$B144,$A$2:$A144&gt;=$A144-6,$B$2:$B144&gt;0)),0),"""")"),"")</f>
        <v/>
      </c>
      <c r="H144" s="13" t="str">
        <f>IFERROR(__xludf.DUMMYFUNCTION("IFERROR(ROUND(AVERAGE(FILTER($F$2:$F144,$A$2:$A144&gt;=$A144-6,$F$2:$F144&gt;0)),1),"""")"),"")</f>
        <v/>
      </c>
    </row>
    <row r="145" ht="15.75" customHeight="1">
      <c r="A145" s="17">
        <f>'Meal Log'!$A$2+143</f>
        <v>46339</v>
      </c>
      <c r="B145" s="20">
        <f>IF($A145="","",SUMIFS('Meal Log'!$E:$E,'Meal Log'!$A:$A,$A145))</f>
        <v>0</v>
      </c>
      <c r="C145" s="20">
        <f>IF($A145="","",SUMIFS('Meal Log'!$F:$F,'Meal Log'!$A:$A,$A145))</f>
        <v>0</v>
      </c>
      <c r="D145" s="13" t="str">
        <f>IF($E145=0,"",ROUND(SUMIFS('Meal Log'!$G:$G,'Meal Log'!$A:$A,$A145)/$E145,1))</f>
        <v/>
      </c>
      <c r="E145" s="13">
        <f>COUNTIF('Meal Log'!$A:$A,$A145)</f>
        <v>0</v>
      </c>
      <c r="F145" s="13" t="str">
        <f>IFERROR(VLOOKUP($A145,'Weight Log'!$A:$B,2,FALSE),"")</f>
        <v/>
      </c>
      <c r="G145" s="13" t="str">
        <f>IFERROR(__xludf.DUMMYFUNCTION("IFERROR(ROUND(AVERAGE(FILTER($B$2:$B145,$A$2:$A145&gt;=$A145-6,$B$2:$B145&gt;0)),0),"""")"),"")</f>
        <v/>
      </c>
      <c r="H145" s="13" t="str">
        <f>IFERROR(__xludf.DUMMYFUNCTION("IFERROR(ROUND(AVERAGE(FILTER($F$2:$F145,$A$2:$A145&gt;=$A145-6,$F$2:$F145&gt;0)),1),"""")"),"")</f>
        <v/>
      </c>
    </row>
    <row r="146" ht="15.75" customHeight="1">
      <c r="A146" s="17">
        <f>'Meal Log'!$A$2+144</f>
        <v>46340</v>
      </c>
      <c r="B146" s="20">
        <f>IF($A146="","",SUMIFS('Meal Log'!$E:$E,'Meal Log'!$A:$A,$A146))</f>
        <v>0</v>
      </c>
      <c r="C146" s="20">
        <f>IF($A146="","",SUMIFS('Meal Log'!$F:$F,'Meal Log'!$A:$A,$A146))</f>
        <v>0</v>
      </c>
      <c r="D146" s="13" t="str">
        <f>IF($E146=0,"",ROUND(SUMIFS('Meal Log'!$G:$G,'Meal Log'!$A:$A,$A146)/$E146,1))</f>
        <v/>
      </c>
      <c r="E146" s="13">
        <f>COUNTIF('Meal Log'!$A:$A,$A146)</f>
        <v>0</v>
      </c>
      <c r="F146" s="13" t="str">
        <f>IFERROR(VLOOKUP($A146,'Weight Log'!$A:$B,2,FALSE),"")</f>
        <v/>
      </c>
      <c r="G146" s="13" t="str">
        <f>IFERROR(__xludf.DUMMYFUNCTION("IFERROR(ROUND(AVERAGE(FILTER($B$2:$B146,$A$2:$A146&gt;=$A146-6,$B$2:$B146&gt;0)),0),"""")"),"")</f>
        <v/>
      </c>
      <c r="H146" s="13" t="str">
        <f>IFERROR(__xludf.DUMMYFUNCTION("IFERROR(ROUND(AVERAGE(FILTER($F$2:$F146,$A$2:$A146&gt;=$A146-6,$F$2:$F146&gt;0)),1),"""")"),"")</f>
        <v/>
      </c>
    </row>
    <row r="147" ht="15.75" customHeight="1">
      <c r="A147" s="17">
        <f>'Meal Log'!$A$2+145</f>
        <v>46341</v>
      </c>
      <c r="B147" s="20">
        <f>IF($A147="","",SUMIFS('Meal Log'!$E:$E,'Meal Log'!$A:$A,$A147))</f>
        <v>0</v>
      </c>
      <c r="C147" s="20">
        <f>IF($A147="","",SUMIFS('Meal Log'!$F:$F,'Meal Log'!$A:$A,$A147))</f>
        <v>0</v>
      </c>
      <c r="D147" s="13" t="str">
        <f>IF($E147=0,"",ROUND(SUMIFS('Meal Log'!$G:$G,'Meal Log'!$A:$A,$A147)/$E147,1))</f>
        <v/>
      </c>
      <c r="E147" s="13">
        <f>COUNTIF('Meal Log'!$A:$A,$A147)</f>
        <v>0</v>
      </c>
      <c r="F147" s="13" t="str">
        <f>IFERROR(VLOOKUP($A147,'Weight Log'!$A:$B,2,FALSE),"")</f>
        <v/>
      </c>
      <c r="G147" s="13" t="str">
        <f>IFERROR(__xludf.DUMMYFUNCTION("IFERROR(ROUND(AVERAGE(FILTER($B$2:$B147,$A$2:$A147&gt;=$A147-6,$B$2:$B147&gt;0)),0),"""")"),"")</f>
        <v/>
      </c>
      <c r="H147" s="13" t="str">
        <f>IFERROR(__xludf.DUMMYFUNCTION("IFERROR(ROUND(AVERAGE(FILTER($F$2:$F147,$A$2:$A147&gt;=$A147-6,$F$2:$F147&gt;0)),1),"""")"),"")</f>
        <v/>
      </c>
    </row>
    <row r="148" ht="15.75" customHeight="1">
      <c r="A148" s="17">
        <f>'Meal Log'!$A$2+146</f>
        <v>46342</v>
      </c>
      <c r="B148" s="20">
        <f>IF($A148="","",SUMIFS('Meal Log'!$E:$E,'Meal Log'!$A:$A,$A148))</f>
        <v>0</v>
      </c>
      <c r="C148" s="20">
        <f>IF($A148="","",SUMIFS('Meal Log'!$F:$F,'Meal Log'!$A:$A,$A148))</f>
        <v>0</v>
      </c>
      <c r="D148" s="13" t="str">
        <f>IF($E148=0,"",ROUND(SUMIFS('Meal Log'!$G:$G,'Meal Log'!$A:$A,$A148)/$E148,1))</f>
        <v/>
      </c>
      <c r="E148" s="13">
        <f>COUNTIF('Meal Log'!$A:$A,$A148)</f>
        <v>0</v>
      </c>
      <c r="F148" s="13" t="str">
        <f>IFERROR(VLOOKUP($A148,'Weight Log'!$A:$B,2,FALSE),"")</f>
        <v/>
      </c>
      <c r="G148" s="13" t="str">
        <f>IFERROR(__xludf.DUMMYFUNCTION("IFERROR(ROUND(AVERAGE(FILTER($B$2:$B148,$A$2:$A148&gt;=$A148-6,$B$2:$B148&gt;0)),0),"""")"),"")</f>
        <v/>
      </c>
      <c r="H148" s="13" t="str">
        <f>IFERROR(__xludf.DUMMYFUNCTION("IFERROR(ROUND(AVERAGE(FILTER($F$2:$F148,$A$2:$A148&gt;=$A148-6,$F$2:$F148&gt;0)),1),"""")"),"")</f>
        <v/>
      </c>
    </row>
    <row r="149" ht="15.75" customHeight="1">
      <c r="A149" s="17">
        <f>'Meal Log'!$A$2+147</f>
        <v>46343</v>
      </c>
      <c r="B149" s="20">
        <f>IF($A149="","",SUMIFS('Meal Log'!$E:$E,'Meal Log'!$A:$A,$A149))</f>
        <v>0</v>
      </c>
      <c r="C149" s="20">
        <f>IF($A149="","",SUMIFS('Meal Log'!$F:$F,'Meal Log'!$A:$A,$A149))</f>
        <v>0</v>
      </c>
      <c r="D149" s="13" t="str">
        <f>IF($E149=0,"",ROUND(SUMIFS('Meal Log'!$G:$G,'Meal Log'!$A:$A,$A149)/$E149,1))</f>
        <v/>
      </c>
      <c r="E149" s="13">
        <f>COUNTIF('Meal Log'!$A:$A,$A149)</f>
        <v>0</v>
      </c>
      <c r="F149" s="13" t="str">
        <f>IFERROR(VLOOKUP($A149,'Weight Log'!$A:$B,2,FALSE),"")</f>
        <v/>
      </c>
      <c r="G149" s="13" t="str">
        <f>IFERROR(__xludf.DUMMYFUNCTION("IFERROR(ROUND(AVERAGE(FILTER($B$2:$B149,$A$2:$A149&gt;=$A149-6,$B$2:$B149&gt;0)),0),"""")"),"")</f>
        <v/>
      </c>
      <c r="H149" s="13" t="str">
        <f>IFERROR(__xludf.DUMMYFUNCTION("IFERROR(ROUND(AVERAGE(FILTER($F$2:$F149,$A$2:$A149&gt;=$A149-6,$F$2:$F149&gt;0)),1),"""")"),"")</f>
        <v/>
      </c>
    </row>
    <row r="150" ht="15.75" customHeight="1">
      <c r="A150" s="17">
        <f>'Meal Log'!$A$2+148</f>
        <v>46344</v>
      </c>
      <c r="B150" s="20">
        <f>IF($A150="","",SUMIFS('Meal Log'!$E:$E,'Meal Log'!$A:$A,$A150))</f>
        <v>0</v>
      </c>
      <c r="C150" s="20">
        <f>IF($A150="","",SUMIFS('Meal Log'!$F:$F,'Meal Log'!$A:$A,$A150))</f>
        <v>0</v>
      </c>
      <c r="D150" s="13" t="str">
        <f>IF($E150=0,"",ROUND(SUMIFS('Meal Log'!$G:$G,'Meal Log'!$A:$A,$A150)/$E150,1))</f>
        <v/>
      </c>
      <c r="E150" s="13">
        <f>COUNTIF('Meal Log'!$A:$A,$A150)</f>
        <v>0</v>
      </c>
      <c r="F150" s="13" t="str">
        <f>IFERROR(VLOOKUP($A150,'Weight Log'!$A:$B,2,FALSE),"")</f>
        <v/>
      </c>
      <c r="G150" s="13" t="str">
        <f>IFERROR(__xludf.DUMMYFUNCTION("IFERROR(ROUND(AVERAGE(FILTER($B$2:$B150,$A$2:$A150&gt;=$A150-6,$B$2:$B150&gt;0)),0),"""")"),"")</f>
        <v/>
      </c>
      <c r="H150" s="13" t="str">
        <f>IFERROR(__xludf.DUMMYFUNCTION("IFERROR(ROUND(AVERAGE(FILTER($F$2:$F150,$A$2:$A150&gt;=$A150-6,$F$2:$F150&gt;0)),1),"""")"),"")</f>
        <v/>
      </c>
    </row>
    <row r="151" ht="15.75" customHeight="1">
      <c r="A151" s="17">
        <f>'Meal Log'!$A$2+149</f>
        <v>46345</v>
      </c>
      <c r="B151" s="20">
        <f>IF($A151="","",SUMIFS('Meal Log'!$E:$E,'Meal Log'!$A:$A,$A151))</f>
        <v>0</v>
      </c>
      <c r="C151" s="20">
        <f>IF($A151="","",SUMIFS('Meal Log'!$F:$F,'Meal Log'!$A:$A,$A151))</f>
        <v>0</v>
      </c>
      <c r="D151" s="13" t="str">
        <f>IF($E151=0,"",ROUND(SUMIFS('Meal Log'!$G:$G,'Meal Log'!$A:$A,$A151)/$E151,1))</f>
        <v/>
      </c>
      <c r="E151" s="13">
        <f>COUNTIF('Meal Log'!$A:$A,$A151)</f>
        <v>0</v>
      </c>
      <c r="F151" s="13" t="str">
        <f>IFERROR(VLOOKUP($A151,'Weight Log'!$A:$B,2,FALSE),"")</f>
        <v/>
      </c>
      <c r="G151" s="13" t="str">
        <f>IFERROR(__xludf.DUMMYFUNCTION("IFERROR(ROUND(AVERAGE(FILTER($B$2:$B151,$A$2:$A151&gt;=$A151-6,$B$2:$B151&gt;0)),0),"""")"),"")</f>
        <v/>
      </c>
      <c r="H151" s="13" t="str">
        <f>IFERROR(__xludf.DUMMYFUNCTION("IFERROR(ROUND(AVERAGE(FILTER($F$2:$F151,$A$2:$A151&gt;=$A151-6,$F$2:$F151&gt;0)),1),"""")"),"")</f>
        <v/>
      </c>
    </row>
    <row r="152" ht="15.75" customHeight="1">
      <c r="A152" s="17">
        <f>'Meal Log'!$A$2+150</f>
        <v>46346</v>
      </c>
      <c r="B152" s="20">
        <f>IF($A152="","",SUMIFS('Meal Log'!$E:$E,'Meal Log'!$A:$A,$A152))</f>
        <v>0</v>
      </c>
      <c r="C152" s="20">
        <f>IF($A152="","",SUMIFS('Meal Log'!$F:$F,'Meal Log'!$A:$A,$A152))</f>
        <v>0</v>
      </c>
      <c r="D152" s="13" t="str">
        <f>IF($E152=0,"",ROUND(SUMIFS('Meal Log'!$G:$G,'Meal Log'!$A:$A,$A152)/$E152,1))</f>
        <v/>
      </c>
      <c r="E152" s="13">
        <f>COUNTIF('Meal Log'!$A:$A,$A152)</f>
        <v>0</v>
      </c>
      <c r="F152" s="13" t="str">
        <f>IFERROR(VLOOKUP($A152,'Weight Log'!$A:$B,2,FALSE),"")</f>
        <v/>
      </c>
      <c r="G152" s="13" t="str">
        <f>IFERROR(__xludf.DUMMYFUNCTION("IFERROR(ROUND(AVERAGE(FILTER($B$2:$B152,$A$2:$A152&gt;=$A152-6,$B$2:$B152&gt;0)),0),"""")"),"")</f>
        <v/>
      </c>
      <c r="H152" s="13" t="str">
        <f>IFERROR(__xludf.DUMMYFUNCTION("IFERROR(ROUND(AVERAGE(FILTER($F$2:$F152,$A$2:$A152&gt;=$A152-6,$F$2:$F152&gt;0)),1),"""")"),"")</f>
        <v/>
      </c>
    </row>
    <row r="153" ht="15.75" customHeight="1">
      <c r="A153" s="17">
        <f>'Meal Log'!$A$2+151</f>
        <v>46347</v>
      </c>
      <c r="B153" s="20">
        <f>IF($A153="","",SUMIFS('Meal Log'!$E:$E,'Meal Log'!$A:$A,$A153))</f>
        <v>0</v>
      </c>
      <c r="C153" s="20">
        <f>IF($A153="","",SUMIFS('Meal Log'!$F:$F,'Meal Log'!$A:$A,$A153))</f>
        <v>0</v>
      </c>
      <c r="D153" s="13" t="str">
        <f>IF($E153=0,"",ROUND(SUMIFS('Meal Log'!$G:$G,'Meal Log'!$A:$A,$A153)/$E153,1))</f>
        <v/>
      </c>
      <c r="E153" s="13">
        <f>COUNTIF('Meal Log'!$A:$A,$A153)</f>
        <v>0</v>
      </c>
      <c r="F153" s="13" t="str">
        <f>IFERROR(VLOOKUP($A153,'Weight Log'!$A:$B,2,FALSE),"")</f>
        <v/>
      </c>
      <c r="G153" s="13" t="str">
        <f>IFERROR(__xludf.DUMMYFUNCTION("IFERROR(ROUND(AVERAGE(FILTER($B$2:$B153,$A$2:$A153&gt;=$A153-6,$B$2:$B153&gt;0)),0),"""")"),"")</f>
        <v/>
      </c>
      <c r="H153" s="13" t="str">
        <f>IFERROR(__xludf.DUMMYFUNCTION("IFERROR(ROUND(AVERAGE(FILTER($F$2:$F153,$A$2:$A153&gt;=$A153-6,$F$2:$F153&gt;0)),1),"""")"),"")</f>
        <v/>
      </c>
    </row>
    <row r="154" ht="15.75" customHeight="1">
      <c r="A154" s="17">
        <f>'Meal Log'!$A$2+152</f>
        <v>46348</v>
      </c>
      <c r="B154" s="20">
        <f>IF($A154="","",SUMIFS('Meal Log'!$E:$E,'Meal Log'!$A:$A,$A154))</f>
        <v>0</v>
      </c>
      <c r="C154" s="20">
        <f>IF($A154="","",SUMIFS('Meal Log'!$F:$F,'Meal Log'!$A:$A,$A154))</f>
        <v>0</v>
      </c>
      <c r="D154" s="13" t="str">
        <f>IF($E154=0,"",ROUND(SUMIFS('Meal Log'!$G:$G,'Meal Log'!$A:$A,$A154)/$E154,1))</f>
        <v/>
      </c>
      <c r="E154" s="13">
        <f>COUNTIF('Meal Log'!$A:$A,$A154)</f>
        <v>0</v>
      </c>
      <c r="F154" s="13" t="str">
        <f>IFERROR(VLOOKUP($A154,'Weight Log'!$A:$B,2,FALSE),"")</f>
        <v/>
      </c>
      <c r="G154" s="13" t="str">
        <f>IFERROR(__xludf.DUMMYFUNCTION("IFERROR(ROUND(AVERAGE(FILTER($B$2:$B154,$A$2:$A154&gt;=$A154-6,$B$2:$B154&gt;0)),0),"""")"),"")</f>
        <v/>
      </c>
      <c r="H154" s="13" t="str">
        <f>IFERROR(__xludf.DUMMYFUNCTION("IFERROR(ROUND(AVERAGE(FILTER($F$2:$F154,$A$2:$A154&gt;=$A154-6,$F$2:$F154&gt;0)),1),"""")"),"")</f>
        <v/>
      </c>
    </row>
    <row r="155" ht="15.75" customHeight="1">
      <c r="A155" s="17">
        <f>'Meal Log'!$A$2+153</f>
        <v>46349</v>
      </c>
      <c r="B155" s="20">
        <f>IF($A155="","",SUMIFS('Meal Log'!$E:$E,'Meal Log'!$A:$A,$A155))</f>
        <v>0</v>
      </c>
      <c r="C155" s="20">
        <f>IF($A155="","",SUMIFS('Meal Log'!$F:$F,'Meal Log'!$A:$A,$A155))</f>
        <v>0</v>
      </c>
      <c r="D155" s="13" t="str">
        <f>IF($E155=0,"",ROUND(SUMIFS('Meal Log'!$G:$G,'Meal Log'!$A:$A,$A155)/$E155,1))</f>
        <v/>
      </c>
      <c r="E155" s="13">
        <f>COUNTIF('Meal Log'!$A:$A,$A155)</f>
        <v>0</v>
      </c>
      <c r="F155" s="13" t="str">
        <f>IFERROR(VLOOKUP($A155,'Weight Log'!$A:$B,2,FALSE),"")</f>
        <v/>
      </c>
      <c r="G155" s="13" t="str">
        <f>IFERROR(__xludf.DUMMYFUNCTION("IFERROR(ROUND(AVERAGE(FILTER($B$2:$B155,$A$2:$A155&gt;=$A155-6,$B$2:$B155&gt;0)),0),"""")"),"")</f>
        <v/>
      </c>
      <c r="H155" s="13" t="str">
        <f>IFERROR(__xludf.DUMMYFUNCTION("IFERROR(ROUND(AVERAGE(FILTER($F$2:$F155,$A$2:$A155&gt;=$A155-6,$F$2:$F155&gt;0)),1),"""")"),"")</f>
        <v/>
      </c>
    </row>
    <row r="156" ht="15.75" customHeight="1">
      <c r="A156" s="17">
        <f>'Meal Log'!$A$2+154</f>
        <v>46350</v>
      </c>
      <c r="B156" s="20">
        <f>IF($A156="","",SUMIFS('Meal Log'!$E:$E,'Meal Log'!$A:$A,$A156))</f>
        <v>0</v>
      </c>
      <c r="C156" s="20">
        <f>IF($A156="","",SUMIFS('Meal Log'!$F:$F,'Meal Log'!$A:$A,$A156))</f>
        <v>0</v>
      </c>
      <c r="D156" s="13" t="str">
        <f>IF($E156=0,"",ROUND(SUMIFS('Meal Log'!$G:$G,'Meal Log'!$A:$A,$A156)/$E156,1))</f>
        <v/>
      </c>
      <c r="E156" s="13">
        <f>COUNTIF('Meal Log'!$A:$A,$A156)</f>
        <v>0</v>
      </c>
      <c r="F156" s="13" t="str">
        <f>IFERROR(VLOOKUP($A156,'Weight Log'!$A:$B,2,FALSE),"")</f>
        <v/>
      </c>
      <c r="G156" s="13" t="str">
        <f>IFERROR(__xludf.DUMMYFUNCTION("IFERROR(ROUND(AVERAGE(FILTER($B$2:$B156,$A$2:$A156&gt;=$A156-6,$B$2:$B156&gt;0)),0),"""")"),"")</f>
        <v/>
      </c>
      <c r="H156" s="13" t="str">
        <f>IFERROR(__xludf.DUMMYFUNCTION("IFERROR(ROUND(AVERAGE(FILTER($F$2:$F156,$A$2:$A156&gt;=$A156-6,$F$2:$F156&gt;0)),1),"""")"),"")</f>
        <v/>
      </c>
    </row>
    <row r="157" ht="15.75" customHeight="1">
      <c r="A157" s="17">
        <f>'Meal Log'!$A$2+155</f>
        <v>46351</v>
      </c>
      <c r="B157" s="20">
        <f>IF($A157="","",SUMIFS('Meal Log'!$E:$E,'Meal Log'!$A:$A,$A157))</f>
        <v>0</v>
      </c>
      <c r="C157" s="20">
        <f>IF($A157="","",SUMIFS('Meal Log'!$F:$F,'Meal Log'!$A:$A,$A157))</f>
        <v>0</v>
      </c>
      <c r="D157" s="13" t="str">
        <f>IF($E157=0,"",ROUND(SUMIFS('Meal Log'!$G:$G,'Meal Log'!$A:$A,$A157)/$E157,1))</f>
        <v/>
      </c>
      <c r="E157" s="13">
        <f>COUNTIF('Meal Log'!$A:$A,$A157)</f>
        <v>0</v>
      </c>
      <c r="F157" s="13" t="str">
        <f>IFERROR(VLOOKUP($A157,'Weight Log'!$A:$B,2,FALSE),"")</f>
        <v/>
      </c>
      <c r="G157" s="13" t="str">
        <f>IFERROR(__xludf.DUMMYFUNCTION("IFERROR(ROUND(AVERAGE(FILTER($B$2:$B157,$A$2:$A157&gt;=$A157-6,$B$2:$B157&gt;0)),0),"""")"),"")</f>
        <v/>
      </c>
      <c r="H157" s="13" t="str">
        <f>IFERROR(__xludf.DUMMYFUNCTION("IFERROR(ROUND(AVERAGE(FILTER($F$2:$F157,$A$2:$A157&gt;=$A157-6,$F$2:$F157&gt;0)),1),"""")"),"")</f>
        <v/>
      </c>
    </row>
    <row r="158" ht="15.75" customHeight="1">
      <c r="A158" s="17">
        <f>'Meal Log'!$A$2+156</f>
        <v>46352</v>
      </c>
      <c r="B158" s="20">
        <f>IF($A158="","",SUMIFS('Meal Log'!$E:$E,'Meal Log'!$A:$A,$A158))</f>
        <v>0</v>
      </c>
      <c r="C158" s="20">
        <f>IF($A158="","",SUMIFS('Meal Log'!$F:$F,'Meal Log'!$A:$A,$A158))</f>
        <v>0</v>
      </c>
      <c r="D158" s="13" t="str">
        <f>IF($E158=0,"",ROUND(SUMIFS('Meal Log'!$G:$G,'Meal Log'!$A:$A,$A158)/$E158,1))</f>
        <v/>
      </c>
      <c r="E158" s="13">
        <f>COUNTIF('Meal Log'!$A:$A,$A158)</f>
        <v>0</v>
      </c>
      <c r="F158" s="13" t="str">
        <f>IFERROR(VLOOKUP($A158,'Weight Log'!$A:$B,2,FALSE),"")</f>
        <v/>
      </c>
      <c r="G158" s="13" t="str">
        <f>IFERROR(__xludf.DUMMYFUNCTION("IFERROR(ROUND(AVERAGE(FILTER($B$2:$B158,$A$2:$A158&gt;=$A158-6,$B$2:$B158&gt;0)),0),"""")"),"")</f>
        <v/>
      </c>
      <c r="H158" s="13" t="str">
        <f>IFERROR(__xludf.DUMMYFUNCTION("IFERROR(ROUND(AVERAGE(FILTER($F$2:$F158,$A$2:$A158&gt;=$A158-6,$F$2:$F158&gt;0)),1),"""")"),"")</f>
        <v/>
      </c>
    </row>
    <row r="159" ht="15.75" customHeight="1">
      <c r="A159" s="17">
        <f>'Meal Log'!$A$2+157</f>
        <v>46353</v>
      </c>
      <c r="B159" s="20">
        <f>IF($A159="","",SUMIFS('Meal Log'!$E:$E,'Meal Log'!$A:$A,$A159))</f>
        <v>0</v>
      </c>
      <c r="C159" s="20">
        <f>IF($A159="","",SUMIFS('Meal Log'!$F:$F,'Meal Log'!$A:$A,$A159))</f>
        <v>0</v>
      </c>
      <c r="D159" s="13" t="str">
        <f>IF($E159=0,"",ROUND(SUMIFS('Meal Log'!$G:$G,'Meal Log'!$A:$A,$A159)/$E159,1))</f>
        <v/>
      </c>
      <c r="E159" s="13">
        <f>COUNTIF('Meal Log'!$A:$A,$A159)</f>
        <v>0</v>
      </c>
      <c r="F159" s="13" t="str">
        <f>IFERROR(VLOOKUP($A159,'Weight Log'!$A:$B,2,FALSE),"")</f>
        <v/>
      </c>
      <c r="G159" s="13" t="str">
        <f>IFERROR(__xludf.DUMMYFUNCTION("IFERROR(ROUND(AVERAGE(FILTER($B$2:$B159,$A$2:$A159&gt;=$A159-6,$B$2:$B159&gt;0)),0),"""")"),"")</f>
        <v/>
      </c>
      <c r="H159" s="13" t="str">
        <f>IFERROR(__xludf.DUMMYFUNCTION("IFERROR(ROUND(AVERAGE(FILTER($F$2:$F159,$A$2:$A159&gt;=$A159-6,$F$2:$F159&gt;0)),1),"""")"),"")</f>
        <v/>
      </c>
    </row>
    <row r="160" ht="15.75" customHeight="1">
      <c r="A160" s="17">
        <f>'Meal Log'!$A$2+158</f>
        <v>46354</v>
      </c>
      <c r="B160" s="20">
        <f>IF($A160="","",SUMIFS('Meal Log'!$E:$E,'Meal Log'!$A:$A,$A160))</f>
        <v>0</v>
      </c>
      <c r="C160" s="20">
        <f>IF($A160="","",SUMIFS('Meal Log'!$F:$F,'Meal Log'!$A:$A,$A160))</f>
        <v>0</v>
      </c>
      <c r="D160" s="13" t="str">
        <f>IF($E160=0,"",ROUND(SUMIFS('Meal Log'!$G:$G,'Meal Log'!$A:$A,$A160)/$E160,1))</f>
        <v/>
      </c>
      <c r="E160" s="13">
        <f>COUNTIF('Meal Log'!$A:$A,$A160)</f>
        <v>0</v>
      </c>
      <c r="F160" s="13" t="str">
        <f>IFERROR(VLOOKUP($A160,'Weight Log'!$A:$B,2,FALSE),"")</f>
        <v/>
      </c>
      <c r="G160" s="13" t="str">
        <f>IFERROR(__xludf.DUMMYFUNCTION("IFERROR(ROUND(AVERAGE(FILTER($B$2:$B160,$A$2:$A160&gt;=$A160-6,$B$2:$B160&gt;0)),0),"""")"),"")</f>
        <v/>
      </c>
      <c r="H160" s="13" t="str">
        <f>IFERROR(__xludf.DUMMYFUNCTION("IFERROR(ROUND(AVERAGE(FILTER($F$2:$F160,$A$2:$A160&gt;=$A160-6,$F$2:$F160&gt;0)),1),"""")"),"")</f>
        <v/>
      </c>
    </row>
    <row r="161" ht="15.75" customHeight="1">
      <c r="A161" s="17">
        <f>'Meal Log'!$A$2+159</f>
        <v>46355</v>
      </c>
      <c r="B161" s="20">
        <f>IF($A161="","",SUMIFS('Meal Log'!$E:$E,'Meal Log'!$A:$A,$A161))</f>
        <v>0</v>
      </c>
      <c r="C161" s="20">
        <f>IF($A161="","",SUMIFS('Meal Log'!$F:$F,'Meal Log'!$A:$A,$A161))</f>
        <v>0</v>
      </c>
      <c r="D161" s="13" t="str">
        <f>IF($E161=0,"",ROUND(SUMIFS('Meal Log'!$G:$G,'Meal Log'!$A:$A,$A161)/$E161,1))</f>
        <v/>
      </c>
      <c r="E161" s="13">
        <f>COUNTIF('Meal Log'!$A:$A,$A161)</f>
        <v>0</v>
      </c>
      <c r="F161" s="13" t="str">
        <f>IFERROR(VLOOKUP($A161,'Weight Log'!$A:$B,2,FALSE),"")</f>
        <v/>
      </c>
      <c r="G161" s="13" t="str">
        <f>IFERROR(__xludf.DUMMYFUNCTION("IFERROR(ROUND(AVERAGE(FILTER($B$2:$B161,$A$2:$A161&gt;=$A161-6,$B$2:$B161&gt;0)),0),"""")"),"")</f>
        <v/>
      </c>
      <c r="H161" s="13" t="str">
        <f>IFERROR(__xludf.DUMMYFUNCTION("IFERROR(ROUND(AVERAGE(FILTER($F$2:$F161,$A$2:$A161&gt;=$A161-6,$F$2:$F161&gt;0)),1),"""")"),"")</f>
        <v/>
      </c>
    </row>
    <row r="162" ht="15.75" customHeight="1">
      <c r="A162" s="17">
        <f>'Meal Log'!$A$2+160</f>
        <v>46356</v>
      </c>
      <c r="B162" s="20">
        <f>IF($A162="","",SUMIFS('Meal Log'!$E:$E,'Meal Log'!$A:$A,$A162))</f>
        <v>0</v>
      </c>
      <c r="C162" s="20">
        <f>IF($A162="","",SUMIFS('Meal Log'!$F:$F,'Meal Log'!$A:$A,$A162))</f>
        <v>0</v>
      </c>
      <c r="D162" s="13" t="str">
        <f>IF($E162=0,"",ROUND(SUMIFS('Meal Log'!$G:$G,'Meal Log'!$A:$A,$A162)/$E162,1))</f>
        <v/>
      </c>
      <c r="E162" s="13">
        <f>COUNTIF('Meal Log'!$A:$A,$A162)</f>
        <v>0</v>
      </c>
      <c r="F162" s="13" t="str">
        <f>IFERROR(VLOOKUP($A162,'Weight Log'!$A:$B,2,FALSE),"")</f>
        <v/>
      </c>
      <c r="G162" s="13" t="str">
        <f>IFERROR(__xludf.DUMMYFUNCTION("IFERROR(ROUND(AVERAGE(FILTER($B$2:$B162,$A$2:$A162&gt;=$A162-6,$B$2:$B162&gt;0)),0),"""")"),"")</f>
        <v/>
      </c>
      <c r="H162" s="13" t="str">
        <f>IFERROR(__xludf.DUMMYFUNCTION("IFERROR(ROUND(AVERAGE(FILTER($F$2:$F162,$A$2:$A162&gt;=$A162-6,$F$2:$F162&gt;0)),1),"""")"),"")</f>
        <v/>
      </c>
    </row>
    <row r="163" ht="15.75" customHeight="1">
      <c r="A163" s="17">
        <f>'Meal Log'!$A$2+161</f>
        <v>46357</v>
      </c>
      <c r="B163" s="20">
        <f>IF($A163="","",SUMIFS('Meal Log'!$E:$E,'Meal Log'!$A:$A,$A163))</f>
        <v>0</v>
      </c>
      <c r="C163" s="20">
        <f>IF($A163="","",SUMIFS('Meal Log'!$F:$F,'Meal Log'!$A:$A,$A163))</f>
        <v>0</v>
      </c>
      <c r="D163" s="13" t="str">
        <f>IF($E163=0,"",ROUND(SUMIFS('Meal Log'!$G:$G,'Meal Log'!$A:$A,$A163)/$E163,1))</f>
        <v/>
      </c>
      <c r="E163" s="13">
        <f>COUNTIF('Meal Log'!$A:$A,$A163)</f>
        <v>0</v>
      </c>
      <c r="F163" s="13" t="str">
        <f>IFERROR(VLOOKUP($A163,'Weight Log'!$A:$B,2,FALSE),"")</f>
        <v/>
      </c>
      <c r="G163" s="13" t="str">
        <f>IFERROR(__xludf.DUMMYFUNCTION("IFERROR(ROUND(AVERAGE(FILTER($B$2:$B163,$A$2:$A163&gt;=$A163-6,$B$2:$B163&gt;0)),0),"""")"),"")</f>
        <v/>
      </c>
      <c r="H163" s="13" t="str">
        <f>IFERROR(__xludf.DUMMYFUNCTION("IFERROR(ROUND(AVERAGE(FILTER($F$2:$F163,$A$2:$A163&gt;=$A163-6,$F$2:$F163&gt;0)),1),"""")"),"")</f>
        <v/>
      </c>
    </row>
    <row r="164" ht="15.75" customHeight="1">
      <c r="A164" s="17">
        <f>'Meal Log'!$A$2+162</f>
        <v>46358</v>
      </c>
      <c r="B164" s="20">
        <f>IF($A164="","",SUMIFS('Meal Log'!$E:$E,'Meal Log'!$A:$A,$A164))</f>
        <v>0</v>
      </c>
      <c r="C164" s="20">
        <f>IF($A164="","",SUMIFS('Meal Log'!$F:$F,'Meal Log'!$A:$A,$A164))</f>
        <v>0</v>
      </c>
      <c r="D164" s="13" t="str">
        <f>IF($E164=0,"",ROUND(SUMIFS('Meal Log'!$G:$G,'Meal Log'!$A:$A,$A164)/$E164,1))</f>
        <v/>
      </c>
      <c r="E164" s="13">
        <f>COUNTIF('Meal Log'!$A:$A,$A164)</f>
        <v>0</v>
      </c>
      <c r="F164" s="13" t="str">
        <f>IFERROR(VLOOKUP($A164,'Weight Log'!$A:$B,2,FALSE),"")</f>
        <v/>
      </c>
      <c r="G164" s="13" t="str">
        <f>IFERROR(__xludf.DUMMYFUNCTION("IFERROR(ROUND(AVERAGE(FILTER($B$2:$B164,$A$2:$A164&gt;=$A164-6,$B$2:$B164&gt;0)),0),"""")"),"")</f>
        <v/>
      </c>
      <c r="H164" s="13" t="str">
        <f>IFERROR(__xludf.DUMMYFUNCTION("IFERROR(ROUND(AVERAGE(FILTER($F$2:$F164,$A$2:$A164&gt;=$A164-6,$F$2:$F164&gt;0)),1),"""")"),"")</f>
        <v/>
      </c>
    </row>
    <row r="165" ht="15.75" customHeight="1">
      <c r="A165" s="17">
        <f>'Meal Log'!$A$2+163</f>
        <v>46359</v>
      </c>
      <c r="B165" s="20">
        <f>IF($A165="","",SUMIFS('Meal Log'!$E:$E,'Meal Log'!$A:$A,$A165))</f>
        <v>0</v>
      </c>
      <c r="C165" s="20">
        <f>IF($A165="","",SUMIFS('Meal Log'!$F:$F,'Meal Log'!$A:$A,$A165))</f>
        <v>0</v>
      </c>
      <c r="D165" s="13" t="str">
        <f>IF($E165=0,"",ROUND(SUMIFS('Meal Log'!$G:$G,'Meal Log'!$A:$A,$A165)/$E165,1))</f>
        <v/>
      </c>
      <c r="E165" s="13">
        <f>COUNTIF('Meal Log'!$A:$A,$A165)</f>
        <v>0</v>
      </c>
      <c r="F165" s="13" t="str">
        <f>IFERROR(VLOOKUP($A165,'Weight Log'!$A:$B,2,FALSE),"")</f>
        <v/>
      </c>
      <c r="G165" s="13" t="str">
        <f>IFERROR(__xludf.DUMMYFUNCTION("IFERROR(ROUND(AVERAGE(FILTER($B$2:$B165,$A$2:$A165&gt;=$A165-6,$B$2:$B165&gt;0)),0),"""")"),"")</f>
        <v/>
      </c>
      <c r="H165" s="13" t="str">
        <f>IFERROR(__xludf.DUMMYFUNCTION("IFERROR(ROUND(AVERAGE(FILTER($F$2:$F165,$A$2:$A165&gt;=$A165-6,$F$2:$F165&gt;0)),1),"""")"),"")</f>
        <v/>
      </c>
    </row>
    <row r="166" ht="15.75" customHeight="1">
      <c r="A166" s="17">
        <f>'Meal Log'!$A$2+164</f>
        <v>46360</v>
      </c>
      <c r="B166" s="20">
        <f>IF($A166="","",SUMIFS('Meal Log'!$E:$E,'Meal Log'!$A:$A,$A166))</f>
        <v>0</v>
      </c>
      <c r="C166" s="20">
        <f>IF($A166="","",SUMIFS('Meal Log'!$F:$F,'Meal Log'!$A:$A,$A166))</f>
        <v>0</v>
      </c>
      <c r="D166" s="13" t="str">
        <f>IF($E166=0,"",ROUND(SUMIFS('Meal Log'!$G:$G,'Meal Log'!$A:$A,$A166)/$E166,1))</f>
        <v/>
      </c>
      <c r="E166" s="13">
        <f>COUNTIF('Meal Log'!$A:$A,$A166)</f>
        <v>0</v>
      </c>
      <c r="F166" s="13" t="str">
        <f>IFERROR(VLOOKUP($A166,'Weight Log'!$A:$B,2,FALSE),"")</f>
        <v/>
      </c>
      <c r="G166" s="13" t="str">
        <f>IFERROR(__xludf.DUMMYFUNCTION("IFERROR(ROUND(AVERAGE(FILTER($B$2:$B166,$A$2:$A166&gt;=$A166-6,$B$2:$B166&gt;0)),0),"""")"),"")</f>
        <v/>
      </c>
      <c r="H166" s="13" t="str">
        <f>IFERROR(__xludf.DUMMYFUNCTION("IFERROR(ROUND(AVERAGE(FILTER($F$2:$F166,$A$2:$A166&gt;=$A166-6,$F$2:$F166&gt;0)),1),"""")"),"")</f>
        <v/>
      </c>
    </row>
    <row r="167" ht="15.75" customHeight="1">
      <c r="A167" s="17">
        <f>'Meal Log'!$A$2+165</f>
        <v>46361</v>
      </c>
      <c r="B167" s="20">
        <f>IF($A167="","",SUMIFS('Meal Log'!$E:$E,'Meal Log'!$A:$A,$A167))</f>
        <v>0</v>
      </c>
      <c r="C167" s="20">
        <f>IF($A167="","",SUMIFS('Meal Log'!$F:$F,'Meal Log'!$A:$A,$A167))</f>
        <v>0</v>
      </c>
      <c r="D167" s="13" t="str">
        <f>IF($E167=0,"",ROUND(SUMIFS('Meal Log'!$G:$G,'Meal Log'!$A:$A,$A167)/$E167,1))</f>
        <v/>
      </c>
      <c r="E167" s="13">
        <f>COUNTIF('Meal Log'!$A:$A,$A167)</f>
        <v>0</v>
      </c>
      <c r="F167" s="13" t="str">
        <f>IFERROR(VLOOKUP($A167,'Weight Log'!$A:$B,2,FALSE),"")</f>
        <v/>
      </c>
      <c r="G167" s="13" t="str">
        <f>IFERROR(__xludf.DUMMYFUNCTION("IFERROR(ROUND(AVERAGE(FILTER($B$2:$B167,$A$2:$A167&gt;=$A167-6,$B$2:$B167&gt;0)),0),"""")"),"")</f>
        <v/>
      </c>
      <c r="H167" s="13" t="str">
        <f>IFERROR(__xludf.DUMMYFUNCTION("IFERROR(ROUND(AVERAGE(FILTER($F$2:$F167,$A$2:$A167&gt;=$A167-6,$F$2:$F167&gt;0)),1),"""")"),"")</f>
        <v/>
      </c>
    </row>
    <row r="168" ht="15.75" customHeight="1">
      <c r="A168" s="17">
        <f>'Meal Log'!$A$2+166</f>
        <v>46362</v>
      </c>
      <c r="B168" s="20">
        <f>IF($A168="","",SUMIFS('Meal Log'!$E:$E,'Meal Log'!$A:$A,$A168))</f>
        <v>0</v>
      </c>
      <c r="C168" s="20">
        <f>IF($A168="","",SUMIFS('Meal Log'!$F:$F,'Meal Log'!$A:$A,$A168))</f>
        <v>0</v>
      </c>
      <c r="D168" s="13" t="str">
        <f>IF($E168=0,"",ROUND(SUMIFS('Meal Log'!$G:$G,'Meal Log'!$A:$A,$A168)/$E168,1))</f>
        <v/>
      </c>
      <c r="E168" s="13">
        <f>COUNTIF('Meal Log'!$A:$A,$A168)</f>
        <v>0</v>
      </c>
      <c r="F168" s="13" t="str">
        <f>IFERROR(VLOOKUP($A168,'Weight Log'!$A:$B,2,FALSE),"")</f>
        <v/>
      </c>
      <c r="G168" s="13" t="str">
        <f>IFERROR(__xludf.DUMMYFUNCTION("IFERROR(ROUND(AVERAGE(FILTER($B$2:$B168,$A$2:$A168&gt;=$A168-6,$B$2:$B168&gt;0)),0),"""")"),"")</f>
        <v/>
      </c>
      <c r="H168" s="13" t="str">
        <f>IFERROR(__xludf.DUMMYFUNCTION("IFERROR(ROUND(AVERAGE(FILTER($F$2:$F168,$A$2:$A168&gt;=$A168-6,$F$2:$F168&gt;0)),1),"""")"),"")</f>
        <v/>
      </c>
    </row>
    <row r="169" ht="15.75" customHeight="1">
      <c r="A169" s="17">
        <f>'Meal Log'!$A$2+167</f>
        <v>46363</v>
      </c>
      <c r="B169" s="20">
        <f>IF($A169="","",SUMIFS('Meal Log'!$E:$E,'Meal Log'!$A:$A,$A169))</f>
        <v>0</v>
      </c>
      <c r="C169" s="20">
        <f>IF($A169="","",SUMIFS('Meal Log'!$F:$F,'Meal Log'!$A:$A,$A169))</f>
        <v>0</v>
      </c>
      <c r="D169" s="13" t="str">
        <f>IF($E169=0,"",ROUND(SUMIFS('Meal Log'!$G:$G,'Meal Log'!$A:$A,$A169)/$E169,1))</f>
        <v/>
      </c>
      <c r="E169" s="13">
        <f>COUNTIF('Meal Log'!$A:$A,$A169)</f>
        <v>0</v>
      </c>
      <c r="F169" s="13" t="str">
        <f>IFERROR(VLOOKUP($A169,'Weight Log'!$A:$B,2,FALSE),"")</f>
        <v/>
      </c>
      <c r="G169" s="13" t="str">
        <f>IFERROR(__xludf.DUMMYFUNCTION("IFERROR(ROUND(AVERAGE(FILTER($B$2:$B169,$A$2:$A169&gt;=$A169-6,$B$2:$B169&gt;0)),0),"""")"),"")</f>
        <v/>
      </c>
      <c r="H169" s="13" t="str">
        <f>IFERROR(__xludf.DUMMYFUNCTION("IFERROR(ROUND(AVERAGE(FILTER($F$2:$F169,$A$2:$A169&gt;=$A169-6,$F$2:$F169&gt;0)),1),"""")"),"")</f>
        <v/>
      </c>
    </row>
    <row r="170" ht="15.75" customHeight="1">
      <c r="A170" s="17">
        <f>'Meal Log'!$A$2+168</f>
        <v>46364</v>
      </c>
      <c r="B170" s="20">
        <f>IF($A170="","",SUMIFS('Meal Log'!$E:$E,'Meal Log'!$A:$A,$A170))</f>
        <v>0</v>
      </c>
      <c r="C170" s="20">
        <f>IF($A170="","",SUMIFS('Meal Log'!$F:$F,'Meal Log'!$A:$A,$A170))</f>
        <v>0</v>
      </c>
      <c r="D170" s="13" t="str">
        <f>IF($E170=0,"",ROUND(SUMIFS('Meal Log'!$G:$G,'Meal Log'!$A:$A,$A170)/$E170,1))</f>
        <v/>
      </c>
      <c r="E170" s="13">
        <f>COUNTIF('Meal Log'!$A:$A,$A170)</f>
        <v>0</v>
      </c>
      <c r="F170" s="13" t="str">
        <f>IFERROR(VLOOKUP($A170,'Weight Log'!$A:$B,2,FALSE),"")</f>
        <v/>
      </c>
      <c r="G170" s="13" t="str">
        <f>IFERROR(__xludf.DUMMYFUNCTION("IFERROR(ROUND(AVERAGE(FILTER($B$2:$B170,$A$2:$A170&gt;=$A170-6,$B$2:$B170&gt;0)),0),"""")"),"")</f>
        <v/>
      </c>
      <c r="H170" s="13" t="str">
        <f>IFERROR(__xludf.DUMMYFUNCTION("IFERROR(ROUND(AVERAGE(FILTER($F$2:$F170,$A$2:$A170&gt;=$A170-6,$F$2:$F170&gt;0)),1),"""")"),"")</f>
        <v/>
      </c>
    </row>
    <row r="171" ht="15.75" customHeight="1">
      <c r="A171" s="17">
        <f>'Meal Log'!$A$2+169</f>
        <v>46365</v>
      </c>
      <c r="B171" s="20">
        <f>IF($A171="","",SUMIFS('Meal Log'!$E:$E,'Meal Log'!$A:$A,$A171))</f>
        <v>0</v>
      </c>
      <c r="C171" s="20">
        <f>IF($A171="","",SUMIFS('Meal Log'!$F:$F,'Meal Log'!$A:$A,$A171))</f>
        <v>0</v>
      </c>
      <c r="D171" s="13" t="str">
        <f>IF($E171=0,"",ROUND(SUMIFS('Meal Log'!$G:$G,'Meal Log'!$A:$A,$A171)/$E171,1))</f>
        <v/>
      </c>
      <c r="E171" s="13">
        <f>COUNTIF('Meal Log'!$A:$A,$A171)</f>
        <v>0</v>
      </c>
      <c r="F171" s="13" t="str">
        <f>IFERROR(VLOOKUP($A171,'Weight Log'!$A:$B,2,FALSE),"")</f>
        <v/>
      </c>
      <c r="G171" s="13" t="str">
        <f>IFERROR(__xludf.DUMMYFUNCTION("IFERROR(ROUND(AVERAGE(FILTER($B$2:$B171,$A$2:$A171&gt;=$A171-6,$B$2:$B171&gt;0)),0),"""")"),"")</f>
        <v/>
      </c>
      <c r="H171" s="13" t="str">
        <f>IFERROR(__xludf.DUMMYFUNCTION("IFERROR(ROUND(AVERAGE(FILTER($F$2:$F171,$A$2:$A171&gt;=$A171-6,$F$2:$F171&gt;0)),1),"""")"),"")</f>
        <v/>
      </c>
    </row>
    <row r="172" ht="15.75" customHeight="1">
      <c r="A172" s="17">
        <f>'Meal Log'!$A$2+170</f>
        <v>46366</v>
      </c>
      <c r="B172" s="20">
        <f>IF($A172="","",SUMIFS('Meal Log'!$E:$E,'Meal Log'!$A:$A,$A172))</f>
        <v>0</v>
      </c>
      <c r="C172" s="20">
        <f>IF($A172="","",SUMIFS('Meal Log'!$F:$F,'Meal Log'!$A:$A,$A172))</f>
        <v>0</v>
      </c>
      <c r="D172" s="13" t="str">
        <f>IF($E172=0,"",ROUND(SUMIFS('Meal Log'!$G:$G,'Meal Log'!$A:$A,$A172)/$E172,1))</f>
        <v/>
      </c>
      <c r="E172" s="13">
        <f>COUNTIF('Meal Log'!$A:$A,$A172)</f>
        <v>0</v>
      </c>
      <c r="F172" s="13" t="str">
        <f>IFERROR(VLOOKUP($A172,'Weight Log'!$A:$B,2,FALSE),"")</f>
        <v/>
      </c>
      <c r="G172" s="13" t="str">
        <f>IFERROR(__xludf.DUMMYFUNCTION("IFERROR(ROUND(AVERAGE(FILTER($B$2:$B172,$A$2:$A172&gt;=$A172-6,$B$2:$B172&gt;0)),0),"""")"),"")</f>
        <v/>
      </c>
      <c r="H172" s="13" t="str">
        <f>IFERROR(__xludf.DUMMYFUNCTION("IFERROR(ROUND(AVERAGE(FILTER($F$2:$F172,$A$2:$A172&gt;=$A172-6,$F$2:$F172&gt;0)),1),"""")"),"")</f>
        <v/>
      </c>
    </row>
    <row r="173" ht="15.75" customHeight="1">
      <c r="A173" s="17">
        <f>'Meal Log'!$A$2+171</f>
        <v>46367</v>
      </c>
      <c r="B173" s="20">
        <f>IF($A173="","",SUMIFS('Meal Log'!$E:$E,'Meal Log'!$A:$A,$A173))</f>
        <v>0</v>
      </c>
      <c r="C173" s="20">
        <f>IF($A173="","",SUMIFS('Meal Log'!$F:$F,'Meal Log'!$A:$A,$A173))</f>
        <v>0</v>
      </c>
      <c r="D173" s="13" t="str">
        <f>IF($E173=0,"",ROUND(SUMIFS('Meal Log'!$G:$G,'Meal Log'!$A:$A,$A173)/$E173,1))</f>
        <v/>
      </c>
      <c r="E173" s="13">
        <f>COUNTIF('Meal Log'!$A:$A,$A173)</f>
        <v>0</v>
      </c>
      <c r="F173" s="13" t="str">
        <f>IFERROR(VLOOKUP($A173,'Weight Log'!$A:$B,2,FALSE),"")</f>
        <v/>
      </c>
      <c r="G173" s="13" t="str">
        <f>IFERROR(__xludf.DUMMYFUNCTION("IFERROR(ROUND(AVERAGE(FILTER($B$2:$B173,$A$2:$A173&gt;=$A173-6,$B$2:$B173&gt;0)),0),"""")"),"")</f>
        <v/>
      </c>
      <c r="H173" s="13" t="str">
        <f>IFERROR(__xludf.DUMMYFUNCTION("IFERROR(ROUND(AVERAGE(FILTER($F$2:$F173,$A$2:$A173&gt;=$A173-6,$F$2:$F173&gt;0)),1),"""")"),"")</f>
        <v/>
      </c>
    </row>
    <row r="174" ht="15.75" customHeight="1">
      <c r="A174" s="17">
        <f>'Meal Log'!$A$2+172</f>
        <v>46368</v>
      </c>
      <c r="B174" s="20">
        <f>IF($A174="","",SUMIFS('Meal Log'!$E:$E,'Meal Log'!$A:$A,$A174))</f>
        <v>0</v>
      </c>
      <c r="C174" s="20">
        <f>IF($A174="","",SUMIFS('Meal Log'!$F:$F,'Meal Log'!$A:$A,$A174))</f>
        <v>0</v>
      </c>
      <c r="D174" s="13" t="str">
        <f>IF($E174=0,"",ROUND(SUMIFS('Meal Log'!$G:$G,'Meal Log'!$A:$A,$A174)/$E174,1))</f>
        <v/>
      </c>
      <c r="E174" s="13">
        <f>COUNTIF('Meal Log'!$A:$A,$A174)</f>
        <v>0</v>
      </c>
      <c r="F174" s="13" t="str">
        <f>IFERROR(VLOOKUP($A174,'Weight Log'!$A:$B,2,FALSE),"")</f>
        <v/>
      </c>
      <c r="G174" s="13" t="str">
        <f>IFERROR(__xludf.DUMMYFUNCTION("IFERROR(ROUND(AVERAGE(FILTER($B$2:$B174,$A$2:$A174&gt;=$A174-6,$B$2:$B174&gt;0)),0),"""")"),"")</f>
        <v/>
      </c>
      <c r="H174" s="13" t="str">
        <f>IFERROR(__xludf.DUMMYFUNCTION("IFERROR(ROUND(AVERAGE(FILTER($F$2:$F174,$A$2:$A174&gt;=$A174-6,$F$2:$F174&gt;0)),1),"""")"),"")</f>
        <v/>
      </c>
    </row>
    <row r="175" ht="15.75" customHeight="1">
      <c r="A175" s="17">
        <f>'Meal Log'!$A$2+173</f>
        <v>46369</v>
      </c>
      <c r="B175" s="20">
        <f>IF($A175="","",SUMIFS('Meal Log'!$E:$E,'Meal Log'!$A:$A,$A175))</f>
        <v>0</v>
      </c>
      <c r="C175" s="20">
        <f>IF($A175="","",SUMIFS('Meal Log'!$F:$F,'Meal Log'!$A:$A,$A175))</f>
        <v>0</v>
      </c>
      <c r="D175" s="13" t="str">
        <f>IF($E175=0,"",ROUND(SUMIFS('Meal Log'!$G:$G,'Meal Log'!$A:$A,$A175)/$E175,1))</f>
        <v/>
      </c>
      <c r="E175" s="13">
        <f>COUNTIF('Meal Log'!$A:$A,$A175)</f>
        <v>0</v>
      </c>
      <c r="F175" s="13" t="str">
        <f>IFERROR(VLOOKUP($A175,'Weight Log'!$A:$B,2,FALSE),"")</f>
        <v/>
      </c>
      <c r="G175" s="13" t="str">
        <f>IFERROR(__xludf.DUMMYFUNCTION("IFERROR(ROUND(AVERAGE(FILTER($B$2:$B175,$A$2:$A175&gt;=$A175-6,$B$2:$B175&gt;0)),0),"""")"),"")</f>
        <v/>
      </c>
      <c r="H175" s="13" t="str">
        <f>IFERROR(__xludf.DUMMYFUNCTION("IFERROR(ROUND(AVERAGE(FILTER($F$2:$F175,$A$2:$A175&gt;=$A175-6,$F$2:$F175&gt;0)),1),"""")"),"")</f>
        <v/>
      </c>
    </row>
    <row r="176" ht="15.75" customHeight="1">
      <c r="A176" s="17">
        <f>'Meal Log'!$A$2+174</f>
        <v>46370</v>
      </c>
      <c r="B176" s="20">
        <f>IF($A176="","",SUMIFS('Meal Log'!$E:$E,'Meal Log'!$A:$A,$A176))</f>
        <v>0</v>
      </c>
      <c r="C176" s="20">
        <f>IF($A176="","",SUMIFS('Meal Log'!$F:$F,'Meal Log'!$A:$A,$A176))</f>
        <v>0</v>
      </c>
      <c r="D176" s="13" t="str">
        <f>IF($E176=0,"",ROUND(SUMIFS('Meal Log'!$G:$G,'Meal Log'!$A:$A,$A176)/$E176,1))</f>
        <v/>
      </c>
      <c r="E176" s="13">
        <f>COUNTIF('Meal Log'!$A:$A,$A176)</f>
        <v>0</v>
      </c>
      <c r="F176" s="13" t="str">
        <f>IFERROR(VLOOKUP($A176,'Weight Log'!$A:$B,2,FALSE),"")</f>
        <v/>
      </c>
      <c r="G176" s="13" t="str">
        <f>IFERROR(__xludf.DUMMYFUNCTION("IFERROR(ROUND(AVERAGE(FILTER($B$2:$B176,$A$2:$A176&gt;=$A176-6,$B$2:$B176&gt;0)),0),"""")"),"")</f>
        <v/>
      </c>
      <c r="H176" s="13" t="str">
        <f>IFERROR(__xludf.DUMMYFUNCTION("IFERROR(ROUND(AVERAGE(FILTER($F$2:$F176,$A$2:$A176&gt;=$A176-6,$F$2:$F176&gt;0)),1),"""")"),"")</f>
        <v/>
      </c>
    </row>
    <row r="177" ht="15.75" customHeight="1">
      <c r="A177" s="17">
        <f>'Meal Log'!$A$2+175</f>
        <v>46371</v>
      </c>
      <c r="B177" s="20">
        <f>IF($A177="","",SUMIFS('Meal Log'!$E:$E,'Meal Log'!$A:$A,$A177))</f>
        <v>0</v>
      </c>
      <c r="C177" s="20">
        <f>IF($A177="","",SUMIFS('Meal Log'!$F:$F,'Meal Log'!$A:$A,$A177))</f>
        <v>0</v>
      </c>
      <c r="D177" s="13" t="str">
        <f>IF($E177=0,"",ROUND(SUMIFS('Meal Log'!$G:$G,'Meal Log'!$A:$A,$A177)/$E177,1))</f>
        <v/>
      </c>
      <c r="E177" s="13">
        <f>COUNTIF('Meal Log'!$A:$A,$A177)</f>
        <v>0</v>
      </c>
      <c r="F177" s="13" t="str">
        <f>IFERROR(VLOOKUP($A177,'Weight Log'!$A:$B,2,FALSE),"")</f>
        <v/>
      </c>
      <c r="G177" s="13" t="str">
        <f>IFERROR(__xludf.DUMMYFUNCTION("IFERROR(ROUND(AVERAGE(FILTER($B$2:$B177,$A$2:$A177&gt;=$A177-6,$B$2:$B177&gt;0)),0),"""")"),"")</f>
        <v/>
      </c>
      <c r="H177" s="13" t="str">
        <f>IFERROR(__xludf.DUMMYFUNCTION("IFERROR(ROUND(AVERAGE(FILTER($F$2:$F177,$A$2:$A177&gt;=$A177-6,$F$2:$F177&gt;0)),1),"""")"),"")</f>
        <v/>
      </c>
    </row>
    <row r="178" ht="15.75" customHeight="1">
      <c r="A178" s="17">
        <f>'Meal Log'!$A$2+176</f>
        <v>46372</v>
      </c>
      <c r="B178" s="20">
        <f>IF($A178="","",SUMIFS('Meal Log'!$E:$E,'Meal Log'!$A:$A,$A178))</f>
        <v>0</v>
      </c>
      <c r="C178" s="20">
        <f>IF($A178="","",SUMIFS('Meal Log'!$F:$F,'Meal Log'!$A:$A,$A178))</f>
        <v>0</v>
      </c>
      <c r="D178" s="13" t="str">
        <f>IF($E178=0,"",ROUND(SUMIFS('Meal Log'!$G:$G,'Meal Log'!$A:$A,$A178)/$E178,1))</f>
        <v/>
      </c>
      <c r="E178" s="13">
        <f>COUNTIF('Meal Log'!$A:$A,$A178)</f>
        <v>0</v>
      </c>
      <c r="F178" s="13" t="str">
        <f>IFERROR(VLOOKUP($A178,'Weight Log'!$A:$B,2,FALSE),"")</f>
        <v/>
      </c>
      <c r="G178" s="13" t="str">
        <f>IFERROR(__xludf.DUMMYFUNCTION("IFERROR(ROUND(AVERAGE(FILTER($B$2:$B178,$A$2:$A178&gt;=$A178-6,$B$2:$B178&gt;0)),0),"""")"),"")</f>
        <v/>
      </c>
      <c r="H178" s="13" t="str">
        <f>IFERROR(__xludf.DUMMYFUNCTION("IFERROR(ROUND(AVERAGE(FILTER($F$2:$F178,$A$2:$A178&gt;=$A178-6,$F$2:$F178&gt;0)),1),"""")"),"")</f>
        <v/>
      </c>
    </row>
    <row r="179" ht="15.75" customHeight="1">
      <c r="A179" s="17">
        <f>'Meal Log'!$A$2+177</f>
        <v>46373</v>
      </c>
      <c r="B179" s="20">
        <f>IF($A179="","",SUMIFS('Meal Log'!$E:$E,'Meal Log'!$A:$A,$A179))</f>
        <v>0</v>
      </c>
      <c r="C179" s="20">
        <f>IF($A179="","",SUMIFS('Meal Log'!$F:$F,'Meal Log'!$A:$A,$A179))</f>
        <v>0</v>
      </c>
      <c r="D179" s="13" t="str">
        <f>IF($E179=0,"",ROUND(SUMIFS('Meal Log'!$G:$G,'Meal Log'!$A:$A,$A179)/$E179,1))</f>
        <v/>
      </c>
      <c r="E179" s="13">
        <f>COUNTIF('Meal Log'!$A:$A,$A179)</f>
        <v>0</v>
      </c>
      <c r="F179" s="13" t="str">
        <f>IFERROR(VLOOKUP($A179,'Weight Log'!$A:$B,2,FALSE),"")</f>
        <v/>
      </c>
      <c r="G179" s="13" t="str">
        <f>IFERROR(__xludf.DUMMYFUNCTION("IFERROR(ROUND(AVERAGE(FILTER($B$2:$B179,$A$2:$A179&gt;=$A179-6,$B$2:$B179&gt;0)),0),"""")"),"")</f>
        <v/>
      </c>
      <c r="H179" s="13" t="str">
        <f>IFERROR(__xludf.DUMMYFUNCTION("IFERROR(ROUND(AVERAGE(FILTER($F$2:$F179,$A$2:$A179&gt;=$A179-6,$F$2:$F179&gt;0)),1),"""")"),"")</f>
        <v/>
      </c>
    </row>
    <row r="180" ht="15.75" customHeight="1">
      <c r="A180" s="17">
        <f>'Meal Log'!$A$2+178</f>
        <v>46374</v>
      </c>
      <c r="B180" s="20">
        <f>IF($A180="","",SUMIFS('Meal Log'!$E:$E,'Meal Log'!$A:$A,$A180))</f>
        <v>0</v>
      </c>
      <c r="C180" s="20">
        <f>IF($A180="","",SUMIFS('Meal Log'!$F:$F,'Meal Log'!$A:$A,$A180))</f>
        <v>0</v>
      </c>
      <c r="D180" s="13" t="str">
        <f>IF($E180=0,"",ROUND(SUMIFS('Meal Log'!$G:$G,'Meal Log'!$A:$A,$A180)/$E180,1))</f>
        <v/>
      </c>
      <c r="E180" s="13">
        <f>COUNTIF('Meal Log'!$A:$A,$A180)</f>
        <v>0</v>
      </c>
      <c r="F180" s="13" t="str">
        <f>IFERROR(VLOOKUP($A180,'Weight Log'!$A:$B,2,FALSE),"")</f>
        <v/>
      </c>
      <c r="G180" s="13" t="str">
        <f>IFERROR(__xludf.DUMMYFUNCTION("IFERROR(ROUND(AVERAGE(FILTER($B$2:$B180,$A$2:$A180&gt;=$A180-6,$B$2:$B180&gt;0)),0),"""")"),"")</f>
        <v/>
      </c>
      <c r="H180" s="13" t="str">
        <f>IFERROR(__xludf.DUMMYFUNCTION("IFERROR(ROUND(AVERAGE(FILTER($F$2:$F180,$A$2:$A180&gt;=$A180-6,$F$2:$F180&gt;0)),1),"""")"),"")</f>
        <v/>
      </c>
    </row>
    <row r="181" ht="15.75" customHeight="1">
      <c r="A181" s="17">
        <f>'Meal Log'!$A$2+179</f>
        <v>46375</v>
      </c>
      <c r="B181" s="20">
        <f>IF($A181="","",SUMIFS('Meal Log'!$E:$E,'Meal Log'!$A:$A,$A181))</f>
        <v>0</v>
      </c>
      <c r="C181" s="20">
        <f>IF($A181="","",SUMIFS('Meal Log'!$F:$F,'Meal Log'!$A:$A,$A181))</f>
        <v>0</v>
      </c>
      <c r="D181" s="13" t="str">
        <f>IF($E181=0,"",ROUND(SUMIFS('Meal Log'!$G:$G,'Meal Log'!$A:$A,$A181)/$E181,1))</f>
        <v/>
      </c>
      <c r="E181" s="13">
        <f>COUNTIF('Meal Log'!$A:$A,$A181)</f>
        <v>0</v>
      </c>
      <c r="F181" s="13" t="str">
        <f>IFERROR(VLOOKUP($A181,'Weight Log'!$A:$B,2,FALSE),"")</f>
        <v/>
      </c>
      <c r="G181" s="13" t="str">
        <f>IFERROR(__xludf.DUMMYFUNCTION("IFERROR(ROUND(AVERAGE(FILTER($B$2:$B181,$A$2:$A181&gt;=$A181-6,$B$2:$B181&gt;0)),0),"""")"),"")</f>
        <v/>
      </c>
      <c r="H181" s="13" t="str">
        <f>IFERROR(__xludf.DUMMYFUNCTION("IFERROR(ROUND(AVERAGE(FILTER($F$2:$F181,$A$2:$A181&gt;=$A181-6,$F$2:$F181&gt;0)),1),"""")"),"")</f>
        <v/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81">
    <cfRule type="colorScale" priority="1">
      <colorScale>
        <cfvo type="min"/>
        <cfvo type="percentile" val="50"/>
        <cfvo type="max"/>
        <color rgb="FFFCA5A5"/>
        <color rgb="FFFEF3C7"/>
        <color rgb="FFBBF7D0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2.0"/>
    <col customWidth="1" min="3" max="3" width="13.0"/>
    <col customWidth="1" min="4" max="4" width="32.0"/>
    <col customWidth="1" min="5" max="26" width="8.63"/>
  </cols>
  <sheetData>
    <row r="1" ht="25.5" customHeight="1">
      <c r="A1" s="10" t="s">
        <v>14</v>
      </c>
      <c r="B1" s="10" t="s">
        <v>187</v>
      </c>
      <c r="C1" s="10" t="s">
        <v>9</v>
      </c>
      <c r="D1" s="10" t="s">
        <v>20</v>
      </c>
    </row>
    <row r="2">
      <c r="A2" s="41">
        <v>46196.0</v>
      </c>
      <c r="B2" s="15">
        <v>186.0</v>
      </c>
      <c r="C2" s="13">
        <v>170.0</v>
      </c>
      <c r="D2" s="12" t="s">
        <v>190</v>
      </c>
    </row>
    <row r="3">
      <c r="A3" s="41">
        <v>46197.0</v>
      </c>
      <c r="B3" s="15">
        <v>185.0</v>
      </c>
      <c r="C3" s="13"/>
      <c r="D3" s="12"/>
    </row>
    <row r="4">
      <c r="A4" s="41">
        <v>46198.0</v>
      </c>
      <c r="B4" s="15">
        <v>184.0</v>
      </c>
      <c r="C4" s="13"/>
      <c r="D4" s="12"/>
    </row>
    <row r="5">
      <c r="A5" s="41">
        <v>46200.0</v>
      </c>
      <c r="B5" s="15">
        <v>181.8</v>
      </c>
      <c r="C5" s="13"/>
      <c r="D5" s="12"/>
    </row>
    <row r="6">
      <c r="A6" s="17"/>
      <c r="B6" s="13"/>
      <c r="C6" s="13"/>
      <c r="D6" s="12"/>
    </row>
    <row r="7">
      <c r="A7" s="17"/>
      <c r="B7" s="13"/>
      <c r="C7" s="13"/>
      <c r="D7" s="12"/>
    </row>
    <row r="8">
      <c r="A8" s="17"/>
      <c r="B8" s="13"/>
      <c r="C8" s="13"/>
      <c r="D8" s="12"/>
    </row>
    <row r="9">
      <c r="A9" s="17"/>
      <c r="B9" s="13"/>
      <c r="C9" s="13"/>
      <c r="D9" s="12"/>
    </row>
    <row r="10">
      <c r="A10" s="17"/>
      <c r="B10" s="13"/>
      <c r="C10" s="13"/>
      <c r="D10" s="12"/>
    </row>
    <row r="11">
      <c r="A11" s="17"/>
      <c r="B11" s="13"/>
      <c r="C11" s="13"/>
      <c r="D11" s="12"/>
    </row>
    <row r="12">
      <c r="A12" s="17"/>
      <c r="B12" s="13"/>
      <c r="C12" s="13"/>
      <c r="D12" s="12"/>
    </row>
    <row r="13">
      <c r="A13" s="17"/>
      <c r="B13" s="13"/>
      <c r="C13" s="13"/>
      <c r="D13" s="12"/>
    </row>
    <row r="14">
      <c r="A14" s="17"/>
      <c r="B14" s="13"/>
      <c r="C14" s="13"/>
      <c r="D14" s="12"/>
    </row>
    <row r="15">
      <c r="A15" s="17"/>
      <c r="B15" s="13"/>
      <c r="C15" s="13"/>
      <c r="D15" s="12"/>
    </row>
    <row r="16">
      <c r="A16" s="17"/>
      <c r="B16" s="13"/>
      <c r="C16" s="13"/>
      <c r="D16" s="12"/>
    </row>
    <row r="17">
      <c r="A17" s="17"/>
      <c r="B17" s="13"/>
      <c r="C17" s="13"/>
      <c r="D17" s="12"/>
    </row>
    <row r="18">
      <c r="A18" s="17"/>
      <c r="B18" s="13"/>
      <c r="C18" s="13"/>
      <c r="D18" s="12"/>
    </row>
    <row r="19">
      <c r="A19" s="17"/>
      <c r="B19" s="13"/>
      <c r="C19" s="13"/>
      <c r="D19" s="12"/>
    </row>
    <row r="20">
      <c r="A20" s="17"/>
      <c r="B20" s="13"/>
      <c r="C20" s="13"/>
      <c r="D20" s="12"/>
    </row>
    <row r="21" ht="15.75" customHeight="1">
      <c r="A21" s="17"/>
      <c r="B21" s="13"/>
      <c r="C21" s="13"/>
      <c r="D21" s="12"/>
    </row>
    <row r="22" ht="15.75" customHeight="1">
      <c r="A22" s="17"/>
      <c r="B22" s="13"/>
      <c r="C22" s="13"/>
      <c r="D22" s="12"/>
    </row>
    <row r="23" ht="15.75" customHeight="1">
      <c r="A23" s="17"/>
      <c r="B23" s="13"/>
      <c r="C23" s="13"/>
      <c r="D23" s="12"/>
    </row>
    <row r="24" ht="15.75" customHeight="1">
      <c r="A24" s="17"/>
      <c r="B24" s="13"/>
      <c r="C24" s="13"/>
      <c r="D24" s="12"/>
    </row>
    <row r="25" ht="15.75" customHeight="1">
      <c r="A25" s="17"/>
      <c r="B25" s="13"/>
      <c r="C25" s="13"/>
      <c r="D25" s="12"/>
    </row>
    <row r="26" ht="15.75" customHeight="1">
      <c r="A26" s="17"/>
      <c r="B26" s="13"/>
      <c r="C26" s="13"/>
      <c r="D26" s="12"/>
    </row>
    <row r="27" ht="15.75" customHeight="1">
      <c r="A27" s="17"/>
      <c r="B27" s="13"/>
      <c r="C27" s="13"/>
      <c r="D27" s="12"/>
    </row>
    <row r="28" ht="15.75" customHeight="1">
      <c r="A28" s="17"/>
      <c r="B28" s="13"/>
      <c r="C28" s="13"/>
      <c r="D28" s="12"/>
    </row>
    <row r="29" ht="15.75" customHeight="1">
      <c r="A29" s="17"/>
      <c r="B29" s="13"/>
      <c r="C29" s="13"/>
      <c r="D29" s="12"/>
    </row>
    <row r="30" ht="15.75" customHeight="1">
      <c r="A30" s="17"/>
      <c r="B30" s="13"/>
      <c r="C30" s="13"/>
      <c r="D30" s="12"/>
    </row>
    <row r="31" ht="15.75" customHeight="1">
      <c r="A31" s="17"/>
      <c r="B31" s="13"/>
      <c r="C31" s="13"/>
      <c r="D31" s="12"/>
    </row>
    <row r="32" ht="15.75" customHeight="1">
      <c r="A32" s="17"/>
      <c r="B32" s="13"/>
      <c r="C32" s="13"/>
      <c r="D32" s="12"/>
    </row>
    <row r="33" ht="15.75" customHeight="1">
      <c r="A33" s="17"/>
      <c r="B33" s="13"/>
      <c r="C33" s="13"/>
      <c r="D33" s="12"/>
    </row>
    <row r="34" ht="15.75" customHeight="1">
      <c r="A34" s="17"/>
      <c r="B34" s="13"/>
      <c r="C34" s="13"/>
      <c r="D34" s="12"/>
    </row>
    <row r="35" ht="15.75" customHeight="1">
      <c r="A35" s="17"/>
      <c r="B35" s="13"/>
      <c r="C35" s="13"/>
      <c r="D35" s="12"/>
    </row>
    <row r="36" ht="15.75" customHeight="1">
      <c r="A36" s="17"/>
      <c r="B36" s="13"/>
      <c r="C36" s="13"/>
      <c r="D36" s="12"/>
    </row>
    <row r="37" ht="15.75" customHeight="1">
      <c r="A37" s="17"/>
      <c r="B37" s="13"/>
      <c r="C37" s="13"/>
      <c r="D37" s="12"/>
    </row>
    <row r="38" ht="15.75" customHeight="1">
      <c r="A38" s="17"/>
      <c r="B38" s="13"/>
      <c r="C38" s="13"/>
      <c r="D38" s="12"/>
    </row>
    <row r="39" ht="15.75" customHeight="1">
      <c r="A39" s="17"/>
      <c r="B39" s="13"/>
      <c r="C39" s="13"/>
      <c r="D39" s="12"/>
    </row>
    <row r="40" ht="15.75" customHeight="1">
      <c r="A40" s="17"/>
      <c r="B40" s="13"/>
      <c r="C40" s="13"/>
      <c r="D40" s="12"/>
    </row>
    <row r="41" ht="15.75" customHeight="1">
      <c r="A41" s="17"/>
      <c r="B41" s="13"/>
      <c r="C41" s="13"/>
      <c r="D41" s="12"/>
    </row>
    <row r="42" ht="15.75" customHeight="1">
      <c r="A42" s="17"/>
      <c r="B42" s="13"/>
      <c r="C42" s="13"/>
      <c r="D42" s="12"/>
    </row>
    <row r="43" ht="15.75" customHeight="1">
      <c r="A43" s="17"/>
      <c r="B43" s="13"/>
      <c r="C43" s="13"/>
      <c r="D43" s="12"/>
    </row>
    <row r="44" ht="15.75" customHeight="1">
      <c r="A44" s="17"/>
      <c r="B44" s="13"/>
      <c r="C44" s="13"/>
      <c r="D44" s="12"/>
    </row>
    <row r="45" ht="15.75" customHeight="1">
      <c r="A45" s="17"/>
      <c r="B45" s="13"/>
      <c r="C45" s="13"/>
      <c r="D45" s="12"/>
    </row>
    <row r="46" ht="15.75" customHeight="1">
      <c r="A46" s="17"/>
      <c r="B46" s="13"/>
      <c r="C46" s="13"/>
      <c r="D46" s="12"/>
    </row>
    <row r="47" ht="15.75" customHeight="1">
      <c r="A47" s="17"/>
      <c r="B47" s="13"/>
      <c r="C47" s="13"/>
      <c r="D47" s="12"/>
    </row>
    <row r="48" ht="15.75" customHeight="1">
      <c r="A48" s="17"/>
      <c r="B48" s="13"/>
      <c r="C48" s="13"/>
      <c r="D48" s="12"/>
    </row>
    <row r="49" ht="15.75" customHeight="1">
      <c r="A49" s="17"/>
      <c r="B49" s="13"/>
      <c r="C49" s="13"/>
      <c r="D49" s="12"/>
    </row>
    <row r="50" ht="15.75" customHeight="1">
      <c r="A50" s="17"/>
      <c r="B50" s="13"/>
      <c r="C50" s="13"/>
      <c r="D50" s="12"/>
    </row>
    <row r="51" ht="15.75" customHeight="1">
      <c r="A51" s="17"/>
      <c r="B51" s="13"/>
      <c r="C51" s="13"/>
      <c r="D51" s="12"/>
    </row>
    <row r="52" ht="15.75" customHeight="1">
      <c r="A52" s="17"/>
      <c r="B52" s="13"/>
      <c r="C52" s="13"/>
      <c r="D52" s="12"/>
    </row>
    <row r="53" ht="15.75" customHeight="1">
      <c r="A53" s="17"/>
      <c r="B53" s="13"/>
      <c r="C53" s="13"/>
      <c r="D53" s="12"/>
    </row>
    <row r="54" ht="15.75" customHeight="1">
      <c r="A54" s="17"/>
      <c r="B54" s="13"/>
      <c r="C54" s="13"/>
      <c r="D54" s="12"/>
    </row>
    <row r="55" ht="15.75" customHeight="1">
      <c r="A55" s="17"/>
      <c r="B55" s="13"/>
      <c r="C55" s="13"/>
      <c r="D55" s="12"/>
    </row>
    <row r="56" ht="15.75" customHeight="1">
      <c r="A56" s="17"/>
      <c r="B56" s="13"/>
      <c r="C56" s="13"/>
      <c r="D56" s="12"/>
    </row>
    <row r="57" ht="15.75" customHeight="1">
      <c r="A57" s="17"/>
      <c r="B57" s="13"/>
      <c r="C57" s="13"/>
      <c r="D57" s="12"/>
    </row>
    <row r="58" ht="15.75" customHeight="1">
      <c r="A58" s="17"/>
      <c r="B58" s="13"/>
      <c r="C58" s="13"/>
      <c r="D58" s="12"/>
    </row>
    <row r="59" ht="15.75" customHeight="1">
      <c r="A59" s="17"/>
      <c r="B59" s="13"/>
      <c r="C59" s="13"/>
      <c r="D59" s="12"/>
    </row>
    <row r="60" ht="15.75" customHeight="1">
      <c r="A60" s="17"/>
      <c r="B60" s="13"/>
      <c r="C60" s="13"/>
      <c r="D60" s="12"/>
    </row>
    <row r="61" ht="15.75" customHeight="1">
      <c r="A61" s="17"/>
      <c r="B61" s="13"/>
      <c r="C61" s="13"/>
      <c r="D61" s="12"/>
    </row>
    <row r="62" ht="15.75" customHeight="1">
      <c r="A62" s="17"/>
      <c r="B62" s="13"/>
      <c r="C62" s="13"/>
      <c r="D62" s="12"/>
    </row>
    <row r="63" ht="15.75" customHeight="1">
      <c r="A63" s="17"/>
      <c r="B63" s="13"/>
      <c r="C63" s="13"/>
      <c r="D63" s="12"/>
    </row>
    <row r="64" ht="15.75" customHeight="1">
      <c r="A64" s="17"/>
      <c r="B64" s="13"/>
      <c r="C64" s="13"/>
      <c r="D64" s="12"/>
    </row>
    <row r="65" ht="15.75" customHeight="1">
      <c r="A65" s="17"/>
      <c r="B65" s="13"/>
      <c r="C65" s="13"/>
      <c r="D65" s="12"/>
    </row>
    <row r="66" ht="15.75" customHeight="1">
      <c r="A66" s="17"/>
      <c r="B66" s="13"/>
      <c r="C66" s="13"/>
      <c r="D66" s="12"/>
    </row>
    <row r="67" ht="15.75" customHeight="1">
      <c r="A67" s="17"/>
      <c r="B67" s="13"/>
      <c r="C67" s="13"/>
      <c r="D67" s="12"/>
    </row>
    <row r="68" ht="15.75" customHeight="1">
      <c r="A68" s="17"/>
      <c r="B68" s="13"/>
      <c r="C68" s="13"/>
      <c r="D68" s="12"/>
    </row>
    <row r="69" ht="15.75" customHeight="1">
      <c r="A69" s="17"/>
      <c r="B69" s="13"/>
      <c r="C69" s="13"/>
      <c r="D69" s="12"/>
    </row>
    <row r="70" ht="15.75" customHeight="1">
      <c r="A70" s="17"/>
      <c r="B70" s="13"/>
      <c r="C70" s="13"/>
      <c r="D70" s="12"/>
    </row>
    <row r="71" ht="15.75" customHeight="1">
      <c r="A71" s="17"/>
      <c r="B71" s="13"/>
      <c r="C71" s="13"/>
      <c r="D71" s="12"/>
    </row>
    <row r="72" ht="15.75" customHeight="1">
      <c r="A72" s="17"/>
      <c r="B72" s="13"/>
      <c r="C72" s="13"/>
      <c r="D72" s="12"/>
    </row>
    <row r="73" ht="15.75" customHeight="1">
      <c r="A73" s="17"/>
      <c r="B73" s="13"/>
      <c r="C73" s="13"/>
      <c r="D73" s="12"/>
    </row>
    <row r="74" ht="15.75" customHeight="1">
      <c r="A74" s="17"/>
      <c r="B74" s="13"/>
      <c r="C74" s="13"/>
      <c r="D74" s="12"/>
    </row>
    <row r="75" ht="15.75" customHeight="1">
      <c r="A75" s="17"/>
      <c r="B75" s="13"/>
      <c r="C75" s="13"/>
      <c r="D75" s="12"/>
    </row>
    <row r="76" ht="15.75" customHeight="1">
      <c r="A76" s="17"/>
      <c r="B76" s="13"/>
      <c r="C76" s="13"/>
      <c r="D76" s="12"/>
    </row>
    <row r="77" ht="15.75" customHeight="1">
      <c r="A77" s="17"/>
      <c r="B77" s="13"/>
      <c r="C77" s="13"/>
      <c r="D77" s="12"/>
    </row>
    <row r="78" ht="15.75" customHeight="1">
      <c r="A78" s="17"/>
      <c r="B78" s="13"/>
      <c r="C78" s="13"/>
      <c r="D78" s="12"/>
    </row>
    <row r="79" ht="15.75" customHeight="1">
      <c r="A79" s="17"/>
      <c r="B79" s="13"/>
      <c r="C79" s="13"/>
      <c r="D79" s="12"/>
    </row>
    <row r="80" ht="15.75" customHeight="1">
      <c r="A80" s="17"/>
      <c r="B80" s="13"/>
      <c r="C80" s="13"/>
      <c r="D80" s="12"/>
    </row>
    <row r="81" ht="15.75" customHeight="1">
      <c r="A81" s="17"/>
      <c r="B81" s="13"/>
      <c r="C81" s="13"/>
      <c r="D81" s="12"/>
    </row>
    <row r="82" ht="15.75" customHeight="1">
      <c r="A82" s="17"/>
      <c r="B82" s="13"/>
      <c r="C82" s="13"/>
      <c r="D82" s="12"/>
    </row>
    <row r="83" ht="15.75" customHeight="1">
      <c r="A83" s="17"/>
      <c r="B83" s="13"/>
      <c r="C83" s="13"/>
      <c r="D83" s="12"/>
    </row>
    <row r="84" ht="15.75" customHeight="1">
      <c r="A84" s="17"/>
      <c r="B84" s="13"/>
      <c r="C84" s="13"/>
      <c r="D84" s="12"/>
    </row>
    <row r="85" ht="15.75" customHeight="1">
      <c r="A85" s="17"/>
      <c r="B85" s="13"/>
      <c r="C85" s="13"/>
      <c r="D85" s="12"/>
    </row>
    <row r="86" ht="15.75" customHeight="1">
      <c r="A86" s="17"/>
      <c r="B86" s="13"/>
      <c r="C86" s="13"/>
      <c r="D86" s="12"/>
    </row>
    <row r="87" ht="15.75" customHeight="1">
      <c r="A87" s="17"/>
      <c r="B87" s="13"/>
      <c r="C87" s="13"/>
      <c r="D87" s="12"/>
    </row>
    <row r="88" ht="15.75" customHeight="1">
      <c r="A88" s="17"/>
      <c r="B88" s="13"/>
      <c r="C88" s="13"/>
      <c r="D88" s="12"/>
    </row>
    <row r="89" ht="15.75" customHeight="1">
      <c r="A89" s="17"/>
      <c r="B89" s="13"/>
      <c r="C89" s="13"/>
      <c r="D89" s="12"/>
    </row>
    <row r="90" ht="15.75" customHeight="1">
      <c r="A90" s="17"/>
      <c r="B90" s="13"/>
      <c r="C90" s="13"/>
      <c r="D90" s="12"/>
    </row>
    <row r="91" ht="15.75" customHeight="1">
      <c r="A91" s="17"/>
      <c r="B91" s="13"/>
      <c r="C91" s="13"/>
      <c r="D91" s="12"/>
    </row>
    <row r="92" ht="15.75" customHeight="1">
      <c r="A92" s="17"/>
      <c r="B92" s="13"/>
      <c r="C92" s="13"/>
      <c r="D92" s="12"/>
    </row>
    <row r="93" ht="15.75" customHeight="1">
      <c r="A93" s="17"/>
      <c r="B93" s="13"/>
      <c r="C93" s="13"/>
      <c r="D93" s="12"/>
    </row>
    <row r="94" ht="15.75" customHeight="1">
      <c r="A94" s="17"/>
      <c r="B94" s="13"/>
      <c r="C94" s="13"/>
      <c r="D94" s="12"/>
    </row>
    <row r="95" ht="15.75" customHeight="1">
      <c r="A95" s="17"/>
      <c r="B95" s="13"/>
      <c r="C95" s="13"/>
      <c r="D95" s="12"/>
    </row>
    <row r="96" ht="15.75" customHeight="1">
      <c r="A96" s="17"/>
      <c r="B96" s="13"/>
      <c r="C96" s="13"/>
      <c r="D96" s="12"/>
    </row>
    <row r="97" ht="15.75" customHeight="1">
      <c r="A97" s="17"/>
      <c r="B97" s="13"/>
      <c r="C97" s="13"/>
      <c r="D97" s="12"/>
    </row>
    <row r="98" ht="15.75" customHeight="1">
      <c r="A98" s="17"/>
      <c r="B98" s="13"/>
      <c r="C98" s="13"/>
      <c r="D98" s="12"/>
    </row>
    <row r="99" ht="15.75" customHeight="1">
      <c r="A99" s="17"/>
      <c r="B99" s="13"/>
      <c r="C99" s="13"/>
      <c r="D99" s="12"/>
    </row>
    <row r="100" ht="15.75" customHeight="1">
      <c r="A100" s="17"/>
      <c r="B100" s="13"/>
      <c r="C100" s="13"/>
      <c r="D100" s="12"/>
    </row>
    <row r="101" ht="15.75" customHeight="1">
      <c r="A101" s="17"/>
      <c r="B101" s="13"/>
      <c r="C101" s="13"/>
      <c r="D101" s="12"/>
    </row>
    <row r="102" ht="15.75" customHeight="1">
      <c r="A102" s="17"/>
      <c r="B102" s="13"/>
      <c r="C102" s="13"/>
      <c r="D102" s="12"/>
    </row>
    <row r="103" ht="15.75" customHeight="1">
      <c r="A103" s="17"/>
      <c r="B103" s="13"/>
      <c r="C103" s="13"/>
      <c r="D103" s="12"/>
    </row>
    <row r="104" ht="15.75" customHeight="1">
      <c r="A104" s="17"/>
      <c r="B104" s="13"/>
      <c r="C104" s="13"/>
      <c r="D104" s="12"/>
    </row>
    <row r="105" ht="15.75" customHeight="1">
      <c r="A105" s="17"/>
      <c r="B105" s="13"/>
      <c r="C105" s="13"/>
      <c r="D105" s="12"/>
    </row>
    <row r="106" ht="15.75" customHeight="1">
      <c r="A106" s="17"/>
      <c r="B106" s="13"/>
      <c r="C106" s="13"/>
      <c r="D106" s="12"/>
    </row>
    <row r="107" ht="15.75" customHeight="1">
      <c r="A107" s="17"/>
      <c r="B107" s="13"/>
      <c r="C107" s="13"/>
      <c r="D107" s="12"/>
    </row>
    <row r="108" ht="15.75" customHeight="1">
      <c r="A108" s="17"/>
      <c r="B108" s="13"/>
      <c r="C108" s="13"/>
      <c r="D108" s="12"/>
    </row>
    <row r="109" ht="15.75" customHeight="1">
      <c r="A109" s="17"/>
      <c r="B109" s="13"/>
      <c r="C109" s="13"/>
      <c r="D109" s="12"/>
    </row>
    <row r="110" ht="15.75" customHeight="1">
      <c r="A110" s="17"/>
      <c r="B110" s="13"/>
      <c r="C110" s="13"/>
      <c r="D110" s="12"/>
    </row>
    <row r="111" ht="15.75" customHeight="1">
      <c r="A111" s="17"/>
      <c r="B111" s="13"/>
      <c r="C111" s="13"/>
      <c r="D111" s="12"/>
    </row>
    <row r="112" ht="15.75" customHeight="1">
      <c r="A112" s="17"/>
      <c r="B112" s="13"/>
      <c r="C112" s="13"/>
      <c r="D112" s="12"/>
    </row>
    <row r="113" ht="15.75" customHeight="1">
      <c r="A113" s="17"/>
      <c r="B113" s="13"/>
      <c r="C113" s="13"/>
      <c r="D113" s="12"/>
    </row>
    <row r="114" ht="15.75" customHeight="1">
      <c r="A114" s="17"/>
      <c r="B114" s="13"/>
      <c r="C114" s="13"/>
      <c r="D114" s="12"/>
    </row>
    <row r="115" ht="15.75" customHeight="1">
      <c r="A115" s="17"/>
      <c r="B115" s="13"/>
      <c r="C115" s="13"/>
      <c r="D115" s="12"/>
    </row>
    <row r="116" ht="15.75" customHeight="1">
      <c r="A116" s="17"/>
      <c r="B116" s="13"/>
      <c r="C116" s="13"/>
      <c r="D116" s="12"/>
    </row>
    <row r="117" ht="15.75" customHeight="1">
      <c r="A117" s="17"/>
      <c r="B117" s="13"/>
      <c r="C117" s="13"/>
      <c r="D117" s="12"/>
    </row>
    <row r="118" ht="15.75" customHeight="1">
      <c r="A118" s="17"/>
      <c r="B118" s="13"/>
      <c r="C118" s="13"/>
      <c r="D118" s="12"/>
    </row>
    <row r="119" ht="15.75" customHeight="1">
      <c r="A119" s="17"/>
      <c r="B119" s="13"/>
      <c r="C119" s="13"/>
      <c r="D119" s="12"/>
    </row>
    <row r="120" ht="15.75" customHeight="1">
      <c r="A120" s="17"/>
      <c r="B120" s="13"/>
      <c r="C120" s="13"/>
      <c r="D120" s="12"/>
    </row>
    <row r="121" ht="15.75" customHeight="1">
      <c r="A121" s="17"/>
      <c r="B121" s="13"/>
      <c r="C121" s="13"/>
      <c r="D121" s="12"/>
    </row>
    <row r="122" ht="15.75" customHeight="1">
      <c r="A122" s="17"/>
      <c r="B122" s="13"/>
      <c r="C122" s="13"/>
      <c r="D122" s="12"/>
    </row>
    <row r="123" ht="15.75" customHeight="1">
      <c r="A123" s="17"/>
      <c r="B123" s="13"/>
      <c r="C123" s="13"/>
      <c r="D123" s="12"/>
    </row>
    <row r="124" ht="15.75" customHeight="1">
      <c r="A124" s="17"/>
      <c r="B124" s="13"/>
      <c r="C124" s="13"/>
      <c r="D124" s="12"/>
    </row>
    <row r="125" ht="15.75" customHeight="1">
      <c r="A125" s="17"/>
      <c r="B125" s="13"/>
      <c r="C125" s="13"/>
      <c r="D125" s="12"/>
    </row>
    <row r="126" ht="15.75" customHeight="1">
      <c r="A126" s="17"/>
      <c r="B126" s="13"/>
      <c r="C126" s="13"/>
      <c r="D126" s="12"/>
    </row>
    <row r="127" ht="15.75" customHeight="1">
      <c r="A127" s="17"/>
      <c r="B127" s="13"/>
      <c r="C127" s="13"/>
      <c r="D127" s="12"/>
    </row>
    <row r="128" ht="15.75" customHeight="1">
      <c r="A128" s="17"/>
      <c r="B128" s="13"/>
      <c r="C128" s="13"/>
      <c r="D128" s="12"/>
    </row>
    <row r="129" ht="15.75" customHeight="1">
      <c r="A129" s="17"/>
      <c r="B129" s="13"/>
      <c r="C129" s="13"/>
      <c r="D129" s="12"/>
    </row>
    <row r="130" ht="15.75" customHeight="1">
      <c r="A130" s="17"/>
      <c r="B130" s="13"/>
      <c r="C130" s="13"/>
      <c r="D130" s="12"/>
    </row>
    <row r="131" ht="15.75" customHeight="1">
      <c r="A131" s="17"/>
      <c r="B131" s="13"/>
      <c r="C131" s="13"/>
      <c r="D131" s="12"/>
    </row>
    <row r="132" ht="15.75" customHeight="1">
      <c r="A132" s="17"/>
      <c r="B132" s="13"/>
      <c r="C132" s="13"/>
      <c r="D132" s="12"/>
    </row>
    <row r="133" ht="15.75" customHeight="1">
      <c r="A133" s="17"/>
      <c r="B133" s="13"/>
      <c r="C133" s="13"/>
      <c r="D133" s="12"/>
    </row>
    <row r="134" ht="15.75" customHeight="1">
      <c r="A134" s="17"/>
      <c r="B134" s="13"/>
      <c r="C134" s="13"/>
      <c r="D134" s="12"/>
    </row>
    <row r="135" ht="15.75" customHeight="1">
      <c r="A135" s="17"/>
      <c r="B135" s="13"/>
      <c r="C135" s="13"/>
      <c r="D135" s="12"/>
    </row>
    <row r="136" ht="15.75" customHeight="1">
      <c r="A136" s="17"/>
      <c r="B136" s="13"/>
      <c r="C136" s="13"/>
      <c r="D136" s="12"/>
    </row>
    <row r="137" ht="15.75" customHeight="1">
      <c r="A137" s="17"/>
      <c r="B137" s="13"/>
      <c r="C137" s="13"/>
      <c r="D137" s="12"/>
    </row>
    <row r="138" ht="15.75" customHeight="1">
      <c r="A138" s="17"/>
      <c r="B138" s="13"/>
      <c r="C138" s="13"/>
      <c r="D138" s="12"/>
    </row>
    <row r="139" ht="15.75" customHeight="1">
      <c r="A139" s="17"/>
      <c r="B139" s="13"/>
      <c r="C139" s="13"/>
      <c r="D139" s="12"/>
    </row>
    <row r="140" ht="15.75" customHeight="1">
      <c r="A140" s="17"/>
      <c r="B140" s="13"/>
      <c r="C140" s="13"/>
      <c r="D140" s="12"/>
    </row>
    <row r="141" ht="15.75" customHeight="1">
      <c r="A141" s="17"/>
      <c r="B141" s="13"/>
      <c r="C141" s="13"/>
      <c r="D141" s="12"/>
    </row>
    <row r="142" ht="15.75" customHeight="1">
      <c r="A142" s="17"/>
      <c r="B142" s="13"/>
      <c r="C142" s="13"/>
      <c r="D142" s="12"/>
    </row>
    <row r="143" ht="15.75" customHeight="1">
      <c r="A143" s="17"/>
      <c r="B143" s="13"/>
      <c r="C143" s="13"/>
      <c r="D143" s="12"/>
    </row>
    <row r="144" ht="15.75" customHeight="1">
      <c r="A144" s="17"/>
      <c r="B144" s="13"/>
      <c r="C144" s="13"/>
      <c r="D144" s="12"/>
    </row>
    <row r="145" ht="15.75" customHeight="1">
      <c r="A145" s="17"/>
      <c r="B145" s="13"/>
      <c r="C145" s="13"/>
      <c r="D145" s="12"/>
    </row>
    <row r="146" ht="15.75" customHeight="1">
      <c r="A146" s="17"/>
      <c r="B146" s="13"/>
      <c r="C146" s="13"/>
      <c r="D146" s="12"/>
    </row>
    <row r="147" ht="15.75" customHeight="1">
      <c r="A147" s="17"/>
      <c r="B147" s="13"/>
      <c r="C147" s="13"/>
      <c r="D147" s="12"/>
    </row>
    <row r="148" ht="15.75" customHeight="1">
      <c r="A148" s="17"/>
      <c r="B148" s="13"/>
      <c r="C148" s="13"/>
      <c r="D148" s="12"/>
    </row>
    <row r="149" ht="15.75" customHeight="1">
      <c r="A149" s="17"/>
      <c r="B149" s="13"/>
      <c r="C149" s="13"/>
      <c r="D149" s="12"/>
    </row>
    <row r="150" ht="15.75" customHeight="1">
      <c r="A150" s="17"/>
      <c r="B150" s="13"/>
      <c r="C150" s="13"/>
      <c r="D150" s="12"/>
    </row>
    <row r="151" ht="15.75" customHeight="1">
      <c r="A151" s="17"/>
      <c r="B151" s="13"/>
      <c r="C151" s="13"/>
      <c r="D151" s="12"/>
    </row>
    <row r="152" ht="15.75" customHeight="1">
      <c r="A152" s="17"/>
      <c r="B152" s="13"/>
      <c r="C152" s="13"/>
      <c r="D152" s="12"/>
    </row>
    <row r="153" ht="15.75" customHeight="1">
      <c r="A153" s="17"/>
      <c r="B153" s="13"/>
      <c r="C153" s="13"/>
      <c r="D153" s="12"/>
    </row>
    <row r="154" ht="15.75" customHeight="1">
      <c r="A154" s="17"/>
      <c r="B154" s="13"/>
      <c r="C154" s="13"/>
      <c r="D154" s="12"/>
    </row>
    <row r="155" ht="15.75" customHeight="1">
      <c r="A155" s="17"/>
      <c r="B155" s="13"/>
      <c r="C155" s="13"/>
      <c r="D155" s="12"/>
    </row>
    <row r="156" ht="15.75" customHeight="1">
      <c r="A156" s="17"/>
      <c r="B156" s="13"/>
      <c r="C156" s="13"/>
      <c r="D156" s="12"/>
    </row>
    <row r="157" ht="15.75" customHeight="1">
      <c r="A157" s="17"/>
      <c r="B157" s="13"/>
      <c r="C157" s="13"/>
      <c r="D157" s="12"/>
    </row>
    <row r="158" ht="15.75" customHeight="1">
      <c r="A158" s="17"/>
      <c r="B158" s="13"/>
      <c r="C158" s="13"/>
      <c r="D158" s="12"/>
    </row>
    <row r="159" ht="15.75" customHeight="1">
      <c r="A159" s="17"/>
      <c r="B159" s="13"/>
      <c r="C159" s="13"/>
      <c r="D159" s="12"/>
    </row>
    <row r="160" ht="15.75" customHeight="1">
      <c r="A160" s="17"/>
      <c r="B160" s="13"/>
      <c r="C160" s="13"/>
      <c r="D160" s="12"/>
    </row>
    <row r="161" ht="15.75" customHeight="1">
      <c r="A161" s="17"/>
      <c r="B161" s="13"/>
      <c r="C161" s="13"/>
      <c r="D161" s="12"/>
    </row>
    <row r="162" ht="15.75" customHeight="1">
      <c r="A162" s="17"/>
      <c r="B162" s="13"/>
      <c r="C162" s="13"/>
      <c r="D162" s="12"/>
    </row>
    <row r="163" ht="15.75" customHeight="1">
      <c r="A163" s="17"/>
      <c r="B163" s="13"/>
      <c r="C163" s="13"/>
      <c r="D163" s="12"/>
    </row>
    <row r="164" ht="15.75" customHeight="1">
      <c r="A164" s="17"/>
      <c r="B164" s="13"/>
      <c r="C164" s="13"/>
      <c r="D164" s="12"/>
    </row>
    <row r="165" ht="15.75" customHeight="1">
      <c r="A165" s="17"/>
      <c r="B165" s="13"/>
      <c r="C165" s="13"/>
      <c r="D165" s="12"/>
    </row>
    <row r="166" ht="15.75" customHeight="1">
      <c r="A166" s="17"/>
      <c r="B166" s="13"/>
      <c r="C166" s="13"/>
      <c r="D166" s="12"/>
    </row>
    <row r="167" ht="15.75" customHeight="1">
      <c r="A167" s="17"/>
      <c r="B167" s="13"/>
      <c r="C167" s="13"/>
      <c r="D167" s="12"/>
    </row>
    <row r="168" ht="15.75" customHeight="1">
      <c r="A168" s="17"/>
      <c r="B168" s="13"/>
      <c r="C168" s="13"/>
      <c r="D168" s="12"/>
    </row>
    <row r="169" ht="15.75" customHeight="1">
      <c r="A169" s="17"/>
      <c r="B169" s="13"/>
      <c r="C169" s="13"/>
      <c r="D169" s="12"/>
    </row>
    <row r="170" ht="15.75" customHeight="1">
      <c r="A170" s="17"/>
      <c r="B170" s="13"/>
      <c r="C170" s="13"/>
      <c r="D170" s="12"/>
    </row>
    <row r="171" ht="15.75" customHeight="1">
      <c r="A171" s="17"/>
      <c r="B171" s="13"/>
      <c r="C171" s="13"/>
      <c r="D171" s="12"/>
    </row>
    <row r="172" ht="15.75" customHeight="1">
      <c r="A172" s="17"/>
      <c r="B172" s="13"/>
      <c r="C172" s="13"/>
      <c r="D172" s="12"/>
    </row>
    <row r="173" ht="15.75" customHeight="1">
      <c r="A173" s="17"/>
      <c r="B173" s="13"/>
      <c r="C173" s="13"/>
      <c r="D173" s="12"/>
    </row>
    <row r="174" ht="15.75" customHeight="1">
      <c r="A174" s="17"/>
      <c r="B174" s="13"/>
      <c r="C174" s="13"/>
      <c r="D174" s="12"/>
    </row>
    <row r="175" ht="15.75" customHeight="1">
      <c r="A175" s="17"/>
      <c r="B175" s="13"/>
      <c r="C175" s="13"/>
      <c r="D175" s="12"/>
    </row>
    <row r="176" ht="15.75" customHeight="1">
      <c r="A176" s="17"/>
      <c r="B176" s="13"/>
      <c r="C176" s="13"/>
      <c r="D176" s="12"/>
    </row>
    <row r="177" ht="15.75" customHeight="1">
      <c r="A177" s="17"/>
      <c r="B177" s="13"/>
      <c r="C177" s="13"/>
      <c r="D177" s="12"/>
    </row>
    <row r="178" ht="15.75" customHeight="1">
      <c r="A178" s="17"/>
      <c r="B178" s="13"/>
      <c r="C178" s="13"/>
      <c r="D178" s="12"/>
    </row>
    <row r="179" ht="15.75" customHeight="1">
      <c r="A179" s="17"/>
      <c r="B179" s="13"/>
      <c r="C179" s="13"/>
      <c r="D179" s="12"/>
    </row>
    <row r="180" ht="15.75" customHeight="1">
      <c r="A180" s="17"/>
      <c r="B180" s="13"/>
      <c r="C180" s="13"/>
      <c r="D180" s="12"/>
    </row>
    <row r="181" ht="15.75" customHeight="1">
      <c r="A181" s="17"/>
      <c r="B181" s="13"/>
      <c r="C181" s="13"/>
      <c r="D181" s="12"/>
    </row>
    <row r="182" ht="15.75" customHeight="1">
      <c r="A182" s="17"/>
      <c r="B182" s="13"/>
      <c r="C182" s="13"/>
      <c r="D182" s="12"/>
    </row>
    <row r="183" ht="15.75" customHeight="1">
      <c r="A183" s="17"/>
      <c r="B183" s="13"/>
      <c r="C183" s="13"/>
      <c r="D183" s="12"/>
    </row>
    <row r="184" ht="15.75" customHeight="1">
      <c r="A184" s="17"/>
      <c r="B184" s="13"/>
      <c r="C184" s="13"/>
      <c r="D184" s="12"/>
    </row>
    <row r="185" ht="15.75" customHeight="1">
      <c r="A185" s="17"/>
      <c r="B185" s="13"/>
      <c r="C185" s="13"/>
      <c r="D185" s="12"/>
    </row>
    <row r="186" ht="15.75" customHeight="1">
      <c r="A186" s="17"/>
      <c r="B186" s="13"/>
      <c r="C186" s="13"/>
      <c r="D186" s="12"/>
    </row>
    <row r="187" ht="15.75" customHeight="1">
      <c r="A187" s="17"/>
      <c r="B187" s="13"/>
      <c r="C187" s="13"/>
      <c r="D187" s="12"/>
    </row>
    <row r="188" ht="15.75" customHeight="1">
      <c r="A188" s="17"/>
      <c r="B188" s="13"/>
      <c r="C188" s="13"/>
      <c r="D188" s="12"/>
    </row>
    <row r="189" ht="15.75" customHeight="1">
      <c r="A189" s="17"/>
      <c r="B189" s="13"/>
      <c r="C189" s="13"/>
      <c r="D189" s="12"/>
    </row>
    <row r="190" ht="15.75" customHeight="1">
      <c r="A190" s="17"/>
      <c r="B190" s="13"/>
      <c r="C190" s="13"/>
      <c r="D190" s="12"/>
    </row>
    <row r="191" ht="15.75" customHeight="1">
      <c r="A191" s="17"/>
      <c r="B191" s="13"/>
      <c r="C191" s="13"/>
      <c r="D191" s="12"/>
    </row>
    <row r="192" ht="15.75" customHeight="1">
      <c r="A192" s="17"/>
      <c r="B192" s="13"/>
      <c r="C192" s="13"/>
      <c r="D192" s="12"/>
    </row>
    <row r="193" ht="15.75" customHeight="1">
      <c r="A193" s="17"/>
      <c r="B193" s="13"/>
      <c r="C193" s="13"/>
      <c r="D193" s="12"/>
    </row>
    <row r="194" ht="15.75" customHeight="1">
      <c r="A194" s="17"/>
      <c r="B194" s="13"/>
      <c r="C194" s="13"/>
      <c r="D194" s="12"/>
    </row>
    <row r="195" ht="15.75" customHeight="1">
      <c r="A195" s="17"/>
      <c r="B195" s="13"/>
      <c r="C195" s="13"/>
      <c r="D195" s="12"/>
    </row>
    <row r="196" ht="15.75" customHeight="1">
      <c r="A196" s="17"/>
      <c r="B196" s="13"/>
      <c r="C196" s="13"/>
      <c r="D196" s="12"/>
    </row>
    <row r="197" ht="15.75" customHeight="1">
      <c r="A197" s="17"/>
      <c r="B197" s="13"/>
      <c r="C197" s="13"/>
      <c r="D197" s="12"/>
    </row>
    <row r="198" ht="15.75" customHeight="1">
      <c r="A198" s="17"/>
      <c r="B198" s="13"/>
      <c r="C198" s="13"/>
      <c r="D198" s="12"/>
    </row>
    <row r="199" ht="15.75" customHeight="1">
      <c r="A199" s="17"/>
      <c r="B199" s="13"/>
      <c r="C199" s="13"/>
      <c r="D199" s="12"/>
    </row>
    <row r="200" ht="15.75" customHeight="1">
      <c r="A200" s="17"/>
      <c r="B200" s="13"/>
      <c r="C200" s="13"/>
      <c r="D200" s="12"/>
    </row>
    <row r="201" ht="15.75" customHeight="1">
      <c r="A201" s="17"/>
      <c r="B201" s="13"/>
      <c r="C201" s="13"/>
      <c r="D201" s="12"/>
    </row>
    <row r="202" ht="15.75" customHeight="1">
      <c r="A202" s="17"/>
      <c r="B202" s="13"/>
      <c r="C202" s="13"/>
      <c r="D202" s="12"/>
    </row>
    <row r="203" ht="15.75" customHeight="1">
      <c r="A203" s="17"/>
      <c r="B203" s="13"/>
      <c r="C203" s="13"/>
      <c r="D203" s="12"/>
    </row>
    <row r="204" ht="15.75" customHeight="1">
      <c r="A204" s="17"/>
      <c r="B204" s="13"/>
      <c r="C204" s="13"/>
      <c r="D204" s="12"/>
    </row>
    <row r="205" ht="15.75" customHeight="1">
      <c r="A205" s="17"/>
      <c r="B205" s="13"/>
      <c r="C205" s="13"/>
      <c r="D205" s="12"/>
    </row>
    <row r="206" ht="15.75" customHeight="1">
      <c r="A206" s="17"/>
      <c r="B206" s="13"/>
      <c r="C206" s="13"/>
      <c r="D206" s="12"/>
    </row>
    <row r="207" ht="15.75" customHeight="1">
      <c r="A207" s="17"/>
      <c r="B207" s="13"/>
      <c r="C207" s="13"/>
      <c r="D207" s="12"/>
    </row>
    <row r="208" ht="15.75" customHeight="1">
      <c r="A208" s="17"/>
      <c r="B208" s="13"/>
      <c r="C208" s="13"/>
      <c r="D208" s="12"/>
    </row>
    <row r="209" ht="15.75" customHeight="1">
      <c r="A209" s="17"/>
      <c r="B209" s="13"/>
      <c r="C209" s="13"/>
      <c r="D209" s="12"/>
    </row>
    <row r="210" ht="15.75" customHeight="1">
      <c r="A210" s="17"/>
      <c r="B210" s="13"/>
      <c r="C210" s="13"/>
      <c r="D210" s="12"/>
    </row>
    <row r="211" ht="15.75" customHeight="1">
      <c r="A211" s="17"/>
      <c r="B211" s="13"/>
      <c r="C211" s="13"/>
      <c r="D211" s="12"/>
    </row>
    <row r="212" ht="15.75" customHeight="1">
      <c r="A212" s="17"/>
      <c r="B212" s="13"/>
      <c r="C212" s="13"/>
      <c r="D212" s="12"/>
    </row>
    <row r="213" ht="15.75" customHeight="1">
      <c r="A213" s="17"/>
      <c r="B213" s="13"/>
      <c r="C213" s="13"/>
      <c r="D213" s="12"/>
    </row>
    <row r="214" ht="15.75" customHeight="1">
      <c r="A214" s="17"/>
      <c r="B214" s="13"/>
      <c r="C214" s="13"/>
      <c r="D214" s="12"/>
    </row>
    <row r="215" ht="15.75" customHeight="1">
      <c r="A215" s="17"/>
      <c r="B215" s="13"/>
      <c r="C215" s="13"/>
      <c r="D215" s="12"/>
    </row>
    <row r="216" ht="15.75" customHeight="1">
      <c r="A216" s="17"/>
      <c r="B216" s="13"/>
      <c r="C216" s="13"/>
      <c r="D216" s="12"/>
    </row>
    <row r="217" ht="15.75" customHeight="1">
      <c r="A217" s="17"/>
      <c r="B217" s="13"/>
      <c r="C217" s="13"/>
      <c r="D217" s="12"/>
    </row>
    <row r="218" ht="15.75" customHeight="1">
      <c r="A218" s="17"/>
      <c r="B218" s="13"/>
      <c r="C218" s="13"/>
      <c r="D218" s="12"/>
    </row>
    <row r="219" ht="15.75" customHeight="1">
      <c r="A219" s="17"/>
      <c r="B219" s="13"/>
      <c r="C219" s="13"/>
      <c r="D219" s="12"/>
    </row>
    <row r="220" ht="15.75" customHeight="1">
      <c r="A220" s="17"/>
      <c r="B220" s="13"/>
      <c r="C220" s="13"/>
      <c r="D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0.0"/>
    <col customWidth="1" min="3" max="26" width="8.63"/>
  </cols>
  <sheetData>
    <row r="1" ht="25.5" customHeight="1">
      <c r="A1" s="1" t="s">
        <v>191</v>
      </c>
    </row>
    <row r="3">
      <c r="A3" s="42" t="s">
        <v>192</v>
      </c>
      <c r="B3" s="43" t="s">
        <v>193</v>
      </c>
    </row>
    <row r="4">
      <c r="A4" s="42" t="s">
        <v>194</v>
      </c>
      <c r="B4" s="43" t="s">
        <v>195</v>
      </c>
    </row>
    <row r="5">
      <c r="A5" s="42" t="s">
        <v>196</v>
      </c>
      <c r="B5" s="43" t="s">
        <v>197</v>
      </c>
    </row>
    <row r="6">
      <c r="A6" s="42" t="s">
        <v>198</v>
      </c>
      <c r="B6" s="43" t="s">
        <v>199</v>
      </c>
    </row>
    <row r="7">
      <c r="A7" s="42" t="s">
        <v>200</v>
      </c>
      <c r="B7" s="43" t="s">
        <v>201</v>
      </c>
    </row>
    <row r="8">
      <c r="A8" s="42" t="s">
        <v>202</v>
      </c>
      <c r="B8" s="43" t="s">
        <v>203</v>
      </c>
    </row>
    <row r="9">
      <c r="A9" s="42" t="s">
        <v>204</v>
      </c>
      <c r="B9" s="43" t="s">
        <v>205</v>
      </c>
    </row>
    <row r="11">
      <c r="A11" s="42" t="s">
        <v>206</v>
      </c>
      <c r="B11" s="43" t="s">
        <v>207</v>
      </c>
    </row>
    <row r="12">
      <c r="A12" s="42" t="s">
        <v>208</v>
      </c>
      <c r="B12" s="43" t="s">
        <v>209</v>
      </c>
    </row>
    <row r="13">
      <c r="A13" s="42" t="s">
        <v>210</v>
      </c>
      <c r="B13" s="43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